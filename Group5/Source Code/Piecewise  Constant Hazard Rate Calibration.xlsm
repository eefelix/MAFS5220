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en Tsui\Desktop\"/>
    </mc:Choice>
  </mc:AlternateContent>
  <bookViews>
    <workbookView xWindow="480" yWindow="105" windowWidth="22995" windowHeight="9465"/>
  </bookViews>
  <sheets>
    <sheet name="Main" sheetId="1" r:id="rId1"/>
    <sheet name="Test Case" sheetId="3" r:id="rId2"/>
  </sheets>
  <calcPr calcId="152511"/>
</workbook>
</file>

<file path=xl/calcChain.xml><?xml version="1.0" encoding="utf-8"?>
<calcChain xmlns="http://schemas.openxmlformats.org/spreadsheetml/2006/main">
  <c r="J15" i="3" l="1"/>
  <c r="J16" i="3"/>
  <c r="J17" i="3"/>
  <c r="J18" i="3"/>
  <c r="J19" i="3"/>
  <c r="J20" i="3"/>
  <c r="J14" i="3"/>
  <c r="J10" i="3"/>
  <c r="J9" i="3"/>
  <c r="J8" i="3"/>
  <c r="J7" i="3"/>
  <c r="J6" i="3"/>
  <c r="J5" i="3"/>
  <c r="J4" i="3"/>
  <c r="K6" i="1" l="1"/>
  <c r="D101" i="3" l="1"/>
  <c r="D100" i="3"/>
  <c r="D99" i="3"/>
  <c r="D98" i="3"/>
  <c r="D97" i="3"/>
  <c r="D96" i="3"/>
  <c r="D95" i="3"/>
  <c r="D92" i="3"/>
  <c r="D91" i="3"/>
  <c r="D90" i="3"/>
  <c r="D89" i="3"/>
  <c r="D88" i="3"/>
  <c r="D87" i="3"/>
  <c r="D86" i="3"/>
  <c r="D74" i="3"/>
  <c r="D73" i="3"/>
  <c r="D72" i="3"/>
  <c r="D71" i="3"/>
  <c r="D70" i="3"/>
  <c r="D69" i="3"/>
  <c r="D68" i="3"/>
  <c r="D83" i="3"/>
  <c r="D82" i="3"/>
  <c r="D81" i="3"/>
  <c r="D80" i="3"/>
  <c r="D79" i="3"/>
  <c r="D78" i="3"/>
  <c r="D77" i="3"/>
  <c r="A15" i="1"/>
  <c r="B15" i="1" s="1"/>
  <c r="A16" i="1"/>
  <c r="B16" i="1" s="1"/>
  <c r="A17" i="1"/>
  <c r="B17" i="1" s="1"/>
  <c r="A18" i="1"/>
  <c r="D65" i="3"/>
  <c r="D64" i="3"/>
  <c r="D63" i="3"/>
  <c r="D62" i="3"/>
  <c r="D61" i="3"/>
  <c r="D60" i="3"/>
  <c r="D59" i="3"/>
  <c r="D56" i="3"/>
  <c r="D55" i="3"/>
  <c r="D54" i="3"/>
  <c r="D53" i="3"/>
  <c r="D52" i="3"/>
  <c r="D51" i="3"/>
  <c r="D50" i="3"/>
  <c r="D47" i="3"/>
  <c r="D46" i="3"/>
  <c r="D45" i="3"/>
  <c r="D44" i="3"/>
  <c r="D43" i="3"/>
  <c r="D42" i="3"/>
  <c r="D41" i="3"/>
  <c r="D38" i="3"/>
  <c r="D37" i="3"/>
  <c r="D36" i="3"/>
  <c r="D35" i="3"/>
  <c r="D34" i="3"/>
  <c r="D33" i="3"/>
  <c r="D32" i="3"/>
  <c r="D24" i="3"/>
  <c r="D25" i="3"/>
  <c r="D26" i="3"/>
  <c r="D27" i="3"/>
  <c r="D28" i="3"/>
  <c r="D29" i="3"/>
  <c r="D23" i="3"/>
  <c r="D5" i="3"/>
  <c r="D6" i="3"/>
  <c r="D7" i="3"/>
  <c r="D8" i="3"/>
  <c r="D9" i="3"/>
  <c r="D10" i="3"/>
  <c r="D4" i="3"/>
  <c r="D15" i="3"/>
  <c r="D16" i="3"/>
  <c r="D17" i="3"/>
  <c r="D18" i="3"/>
  <c r="D19" i="3"/>
  <c r="D20" i="3"/>
  <c r="D14" i="3"/>
  <c r="K12" i="1"/>
  <c r="K11" i="1"/>
  <c r="K10" i="1"/>
  <c r="K9" i="1"/>
  <c r="K8" i="1"/>
  <c r="K7" i="1"/>
  <c r="H8" i="1" l="1"/>
  <c r="B18" i="1"/>
  <c r="F54" i="1"/>
  <c r="F42" i="1"/>
  <c r="F34" i="1"/>
  <c r="F30" i="1"/>
  <c r="F26" i="1"/>
  <c r="F22" i="1"/>
  <c r="F18" i="1"/>
  <c r="A44" i="1"/>
  <c r="B44" i="1" s="1"/>
  <c r="A45" i="1"/>
  <c r="B45" i="1" s="1"/>
  <c r="A46" i="1"/>
  <c r="B46" i="1" s="1"/>
  <c r="A47" i="1"/>
  <c r="B47" i="1" s="1"/>
  <c r="A48" i="1"/>
  <c r="B48" i="1" s="1"/>
  <c r="A49" i="1"/>
  <c r="B49" i="1" s="1"/>
  <c r="A50" i="1"/>
  <c r="B50" i="1" s="1"/>
  <c r="A51" i="1"/>
  <c r="B51" i="1" s="1"/>
  <c r="A52" i="1"/>
  <c r="B52" i="1" s="1"/>
  <c r="A53" i="1"/>
  <c r="B53" i="1" s="1"/>
  <c r="A54" i="1"/>
  <c r="B54" i="1" s="1"/>
  <c r="A43" i="1"/>
  <c r="B43" i="1" s="1"/>
  <c r="A36" i="1"/>
  <c r="B36" i="1" s="1"/>
  <c r="A37" i="1"/>
  <c r="B37" i="1" s="1"/>
  <c r="A38" i="1"/>
  <c r="B38" i="1" s="1"/>
  <c r="A39" i="1"/>
  <c r="B39" i="1" s="1"/>
  <c r="A40" i="1"/>
  <c r="B40" i="1" s="1"/>
  <c r="A41" i="1"/>
  <c r="B41" i="1" s="1"/>
  <c r="A42" i="1"/>
  <c r="B42" i="1" s="1"/>
  <c r="A35" i="1"/>
  <c r="B35" i="1" s="1"/>
  <c r="A32" i="1"/>
  <c r="B32" i="1" s="1"/>
  <c r="A33" i="1"/>
  <c r="B33" i="1" s="1"/>
  <c r="A34" i="1"/>
  <c r="B34" i="1" s="1"/>
  <c r="A31" i="1"/>
  <c r="B31" i="1" s="1"/>
  <c r="A28" i="1"/>
  <c r="B28" i="1" s="1"/>
  <c r="A29" i="1"/>
  <c r="B29" i="1" s="1"/>
  <c r="A30" i="1"/>
  <c r="B30" i="1" s="1"/>
  <c r="A27" i="1"/>
  <c r="B27" i="1" s="1"/>
  <c r="A24" i="1"/>
  <c r="B24" i="1" s="1"/>
  <c r="A25" i="1"/>
  <c r="B25" i="1" s="1"/>
  <c r="A26" i="1"/>
  <c r="B26" i="1" s="1"/>
  <c r="A23" i="1"/>
  <c r="B23" i="1" s="1"/>
  <c r="A20" i="1"/>
  <c r="B20" i="1" s="1"/>
  <c r="A21" i="1"/>
  <c r="B21" i="1" s="1"/>
  <c r="A22" i="1"/>
  <c r="B22" i="1" s="1"/>
  <c r="A19" i="1"/>
  <c r="B19" i="1" s="1"/>
  <c r="G34" i="1" l="1"/>
  <c r="E31" i="1"/>
  <c r="G31" i="1" s="1"/>
  <c r="G18" i="1"/>
  <c r="F17" i="1"/>
  <c r="F16" i="1"/>
  <c r="F15" i="1"/>
  <c r="F21" i="1"/>
  <c r="F20" i="1"/>
  <c r="F19" i="1"/>
  <c r="F29" i="1"/>
  <c r="F28" i="1"/>
  <c r="F27" i="1"/>
  <c r="F25" i="1"/>
  <c r="F24" i="1"/>
  <c r="F23" i="1"/>
  <c r="G54" i="1"/>
  <c r="AJ54" i="1" s="1"/>
  <c r="G42" i="1"/>
  <c r="G30" i="1"/>
  <c r="F31" i="1"/>
  <c r="F35" i="1"/>
  <c r="F36" i="1"/>
  <c r="F37" i="1"/>
  <c r="F38" i="1"/>
  <c r="F39" i="1"/>
  <c r="F40" i="1"/>
  <c r="F41" i="1"/>
  <c r="F43" i="1"/>
  <c r="F44" i="1"/>
  <c r="F45" i="1"/>
  <c r="F46" i="1"/>
  <c r="F47" i="1"/>
  <c r="F48" i="1"/>
  <c r="F49" i="1"/>
  <c r="F50" i="1"/>
  <c r="F51" i="1"/>
  <c r="F52" i="1"/>
  <c r="F53" i="1"/>
  <c r="E53" i="1"/>
  <c r="G53" i="1" s="1"/>
  <c r="AJ53" i="1" s="1"/>
  <c r="E52" i="1"/>
  <c r="G52" i="1" s="1"/>
  <c r="AJ52" i="1" s="1"/>
  <c r="E51" i="1"/>
  <c r="G51" i="1" s="1"/>
  <c r="AJ51" i="1" s="1"/>
  <c r="E50" i="1"/>
  <c r="G50" i="1" s="1"/>
  <c r="AJ50" i="1" s="1"/>
  <c r="E49" i="1"/>
  <c r="G49" i="1" s="1"/>
  <c r="AJ49" i="1" s="1"/>
  <c r="E48" i="1"/>
  <c r="G48" i="1" s="1"/>
  <c r="AJ48" i="1" s="1"/>
  <c r="E47" i="1"/>
  <c r="G47" i="1" s="1"/>
  <c r="AJ47" i="1" s="1"/>
  <c r="E46" i="1"/>
  <c r="G46" i="1" s="1"/>
  <c r="AJ46" i="1" s="1"/>
  <c r="E45" i="1"/>
  <c r="G45" i="1" s="1"/>
  <c r="AJ45" i="1" s="1"/>
  <c r="E44" i="1"/>
  <c r="G44" i="1" s="1"/>
  <c r="AJ44" i="1" s="1"/>
  <c r="E43" i="1"/>
  <c r="G43" i="1" s="1"/>
  <c r="AJ43" i="1" s="1"/>
  <c r="E41" i="1"/>
  <c r="G41" i="1" s="1"/>
  <c r="E40" i="1"/>
  <c r="G40" i="1" s="1"/>
  <c r="E39" i="1"/>
  <c r="G39" i="1" s="1"/>
  <c r="E38" i="1"/>
  <c r="G38" i="1" s="1"/>
  <c r="E37" i="1"/>
  <c r="G37" i="1" s="1"/>
  <c r="E36" i="1"/>
  <c r="G36" i="1" s="1"/>
  <c r="E35" i="1"/>
  <c r="G35" i="1" s="1"/>
  <c r="E17" i="1"/>
  <c r="E16" i="1"/>
  <c r="E15" i="1"/>
  <c r="E21" i="1"/>
  <c r="E20" i="1"/>
  <c r="E19" i="1"/>
  <c r="E25" i="1"/>
  <c r="E24" i="1"/>
  <c r="E23" i="1"/>
  <c r="E29" i="1"/>
  <c r="E28" i="1"/>
  <c r="E27" i="1"/>
  <c r="G16" i="1" l="1"/>
  <c r="T16" i="1" s="1"/>
  <c r="AF41" i="1"/>
  <c r="AJ41" i="1"/>
  <c r="AF38" i="1"/>
  <c r="AJ38" i="1"/>
  <c r="AJ35" i="1"/>
  <c r="AF35" i="1"/>
  <c r="AF39" i="1"/>
  <c r="AJ39" i="1"/>
  <c r="AF18" i="1"/>
  <c r="AJ18" i="1"/>
  <c r="X18" i="1"/>
  <c r="L18" i="1"/>
  <c r="AB18" i="1"/>
  <c r="K18" i="1"/>
  <c r="T18" i="1"/>
  <c r="P18" i="1"/>
  <c r="AJ37" i="1"/>
  <c r="AF37" i="1"/>
  <c r="AF42" i="1"/>
  <c r="AJ42" i="1"/>
  <c r="AF31" i="1"/>
  <c r="AB31" i="1"/>
  <c r="AJ31" i="1"/>
  <c r="G15" i="1"/>
  <c r="AB15" i="1" s="1"/>
  <c r="AJ36" i="1"/>
  <c r="AF36" i="1"/>
  <c r="AJ40" i="1"/>
  <c r="AF40" i="1"/>
  <c r="AF30" i="1"/>
  <c r="AB30" i="1"/>
  <c r="AJ30" i="1"/>
  <c r="X30" i="1"/>
  <c r="AF34" i="1"/>
  <c r="AJ34" i="1"/>
  <c r="AB34" i="1"/>
  <c r="AE36" i="1"/>
  <c r="AE40" i="1"/>
  <c r="AE18" i="1"/>
  <c r="AE30" i="1"/>
  <c r="AE38" i="1"/>
  <c r="AE37" i="1"/>
  <c r="AE41" i="1"/>
  <c r="AE34" i="1"/>
  <c r="AE42" i="1"/>
  <c r="AE31" i="1"/>
  <c r="AE35" i="1"/>
  <c r="AE39" i="1"/>
  <c r="W30" i="1"/>
  <c r="W18" i="1"/>
  <c r="AI37" i="1"/>
  <c r="AI41" i="1"/>
  <c r="AI45" i="1"/>
  <c r="AI49" i="1"/>
  <c r="AI53" i="1"/>
  <c r="AI31" i="1"/>
  <c r="AI39" i="1"/>
  <c r="AI47" i="1"/>
  <c r="AI18" i="1"/>
  <c r="AI30" i="1"/>
  <c r="AI34" i="1"/>
  <c r="AI38" i="1"/>
  <c r="AI42" i="1"/>
  <c r="AI46" i="1"/>
  <c r="AI50" i="1"/>
  <c r="AI54" i="1"/>
  <c r="AI35" i="1"/>
  <c r="AI43" i="1"/>
  <c r="AI51" i="1"/>
  <c r="AI36" i="1"/>
  <c r="AI52" i="1"/>
  <c r="AI40" i="1"/>
  <c r="AI44" i="1"/>
  <c r="AI48" i="1"/>
  <c r="AA30" i="1"/>
  <c r="AA18" i="1"/>
  <c r="AA34" i="1"/>
  <c r="AA31" i="1"/>
  <c r="S18" i="1"/>
  <c r="O18" i="1"/>
  <c r="F32" i="1"/>
  <c r="F33" i="1"/>
  <c r="G61" i="1"/>
  <c r="V61" i="1" s="1"/>
  <c r="G60" i="1"/>
  <c r="V60" i="1" s="1"/>
  <c r="G59" i="1"/>
  <c r="W59" i="1" s="1"/>
  <c r="G58" i="1"/>
  <c r="R58" i="1" s="1"/>
  <c r="L16" i="1" l="1"/>
  <c r="X16" i="1"/>
  <c r="W16" i="1"/>
  <c r="S15" i="1"/>
  <c r="S16" i="1"/>
  <c r="AI16" i="1"/>
  <c r="K16" i="1"/>
  <c r="AF16" i="1"/>
  <c r="AE16" i="1"/>
  <c r="L15" i="1"/>
  <c r="P16" i="1"/>
  <c r="AJ16" i="1"/>
  <c r="O15" i="1"/>
  <c r="X15" i="1"/>
  <c r="O16" i="1"/>
  <c r="AA16" i="1"/>
  <c r="AI15" i="1"/>
  <c r="AB16" i="1"/>
  <c r="K15" i="1"/>
  <c r="AA15" i="1"/>
  <c r="W15" i="1"/>
  <c r="P15" i="1"/>
  <c r="AJ15" i="1"/>
  <c r="AF15" i="1"/>
  <c r="AE15" i="1"/>
  <c r="T15" i="1"/>
  <c r="O58" i="1"/>
  <c r="R59" i="1"/>
  <c r="P58" i="1"/>
  <c r="W58" i="1"/>
  <c r="N59" i="1"/>
  <c r="S58" i="1"/>
  <c r="V59" i="1"/>
  <c r="L58" i="1"/>
  <c r="X58" i="1"/>
  <c r="X61" i="1"/>
  <c r="K58" i="1"/>
  <c r="T58" i="1"/>
  <c r="V58" i="1"/>
  <c r="R60" i="1"/>
  <c r="T59" i="1"/>
  <c r="W61" i="1"/>
  <c r="X60" i="1"/>
  <c r="J58" i="1"/>
  <c r="N58" i="1"/>
  <c r="O59" i="1"/>
  <c r="S60" i="1"/>
  <c r="W60" i="1"/>
  <c r="X59" i="1"/>
  <c r="T60" i="1"/>
  <c r="P59" i="1"/>
  <c r="S59" i="1"/>
  <c r="G29" i="1"/>
  <c r="G23" i="1"/>
  <c r="G28" i="1"/>
  <c r="G27" i="1"/>
  <c r="G24" i="1"/>
  <c r="G22" i="1"/>
  <c r="G26" i="1"/>
  <c r="G25" i="1"/>
  <c r="G20" i="1"/>
  <c r="G19" i="1"/>
  <c r="G17" i="1"/>
  <c r="G21" i="1"/>
  <c r="AF26" i="1" l="1"/>
  <c r="AJ26" i="1"/>
  <c r="X26" i="1"/>
  <c r="T26" i="1"/>
  <c r="AB26" i="1"/>
  <c r="AE26" i="1"/>
  <c r="S26" i="1"/>
  <c r="AI26" i="1"/>
  <c r="AA26" i="1"/>
  <c r="W26" i="1"/>
  <c r="AB19" i="1"/>
  <c r="X19" i="1"/>
  <c r="T19" i="1"/>
  <c r="P19" i="1"/>
  <c r="AF19" i="1"/>
  <c r="AJ19" i="1"/>
  <c r="AI19" i="1"/>
  <c r="AE19" i="1"/>
  <c r="W19" i="1"/>
  <c r="S19" i="1"/>
  <c r="O19" i="1"/>
  <c r="AA19" i="1"/>
  <c r="AJ23" i="1"/>
  <c r="T23" i="1"/>
  <c r="AF23" i="1"/>
  <c r="AB23" i="1"/>
  <c r="X23" i="1"/>
  <c r="S23" i="1"/>
  <c r="AE23" i="1"/>
  <c r="W23" i="1"/>
  <c r="AI23" i="1"/>
  <c r="AA23" i="1"/>
  <c r="AJ20" i="1"/>
  <c r="X20" i="1"/>
  <c r="T20" i="1"/>
  <c r="P20" i="1"/>
  <c r="AB20" i="1"/>
  <c r="AF20" i="1"/>
  <c r="AI20" i="1"/>
  <c r="AE20" i="1"/>
  <c r="AA20" i="1"/>
  <c r="W20" i="1"/>
  <c r="S20" i="1"/>
  <c r="O20" i="1"/>
  <c r="AJ24" i="1"/>
  <c r="X24" i="1"/>
  <c r="T24" i="1"/>
  <c r="AF24" i="1"/>
  <c r="AB24" i="1"/>
  <c r="W24" i="1"/>
  <c r="S24" i="1"/>
  <c r="AI24" i="1"/>
  <c r="AE24" i="1"/>
  <c r="AA24" i="1"/>
  <c r="AB29" i="1"/>
  <c r="AJ29" i="1"/>
  <c r="X29" i="1"/>
  <c r="AF29" i="1"/>
  <c r="W29" i="1"/>
  <c r="AI29" i="1"/>
  <c r="AE29" i="1"/>
  <c r="AA29" i="1"/>
  <c r="AJ17" i="1"/>
  <c r="L17" i="1"/>
  <c r="T17" i="1"/>
  <c r="AF17" i="1"/>
  <c r="AE17" i="1"/>
  <c r="X17" i="1"/>
  <c r="K17" i="1"/>
  <c r="W17" i="1"/>
  <c r="AI17" i="1"/>
  <c r="O17" i="1"/>
  <c r="AB17" i="1"/>
  <c r="AA17" i="1"/>
  <c r="P17" i="1"/>
  <c r="S17" i="1"/>
  <c r="AJ28" i="1"/>
  <c r="X28" i="1"/>
  <c r="AB28" i="1"/>
  <c r="AF28" i="1"/>
  <c r="AE28" i="1"/>
  <c r="W28" i="1"/>
  <c r="AA28" i="1"/>
  <c r="AI28" i="1"/>
  <c r="AF22" i="1"/>
  <c r="P22" i="1"/>
  <c r="AB22" i="1"/>
  <c r="AJ22" i="1"/>
  <c r="X22" i="1"/>
  <c r="T22" i="1"/>
  <c r="AI22" i="1"/>
  <c r="S22" i="1"/>
  <c r="AE22" i="1"/>
  <c r="W22" i="1"/>
  <c r="O22" i="1"/>
  <c r="AA22" i="1"/>
  <c r="AB21" i="1"/>
  <c r="AJ21" i="1"/>
  <c r="X21" i="1"/>
  <c r="T21" i="1"/>
  <c r="P21" i="1"/>
  <c r="AF21" i="1"/>
  <c r="AE21" i="1"/>
  <c r="S21" i="1"/>
  <c r="O21" i="1"/>
  <c r="AA21" i="1"/>
  <c r="W21" i="1"/>
  <c r="AI21" i="1"/>
  <c r="AB25" i="1"/>
  <c r="AF25" i="1"/>
  <c r="AJ25" i="1"/>
  <c r="X25" i="1"/>
  <c r="T25" i="1"/>
  <c r="AA25" i="1"/>
  <c r="W25" i="1"/>
  <c r="AI25" i="1"/>
  <c r="AE25" i="1"/>
  <c r="S25" i="1"/>
  <c r="AB27" i="1"/>
  <c r="AJ27" i="1"/>
  <c r="X27" i="1"/>
  <c r="AF27" i="1"/>
  <c r="AE27" i="1"/>
  <c r="AI27" i="1"/>
  <c r="W27" i="1"/>
  <c r="AA27" i="1"/>
  <c r="U60" i="1"/>
  <c r="M58" i="1"/>
  <c r="Y61" i="1"/>
  <c r="Q59" i="1"/>
  <c r="Q22" i="1" l="1"/>
  <c r="Y30" i="1"/>
  <c r="E33" i="1"/>
  <c r="E32" i="1"/>
  <c r="G32" i="1" l="1"/>
  <c r="G33" i="1"/>
  <c r="U26" i="1"/>
  <c r="AJ32" i="1" l="1"/>
  <c r="AB32" i="1"/>
  <c r="AF32" i="1"/>
  <c r="AE33" i="1"/>
  <c r="AI33" i="1"/>
  <c r="AA33" i="1"/>
  <c r="AJ33" i="1"/>
  <c r="AF33" i="1"/>
  <c r="AB33" i="1"/>
  <c r="AI32" i="1"/>
  <c r="AE32" i="1"/>
  <c r="AA32" i="1"/>
  <c r="M18" i="1"/>
  <c r="AC34" i="1" l="1"/>
  <c r="AG42" i="1"/>
  <c r="AK54" i="1"/>
</calcChain>
</file>

<file path=xl/sharedStrings.xml><?xml version="1.0" encoding="utf-8"?>
<sst xmlns="http://schemas.openxmlformats.org/spreadsheetml/2006/main" count="249" uniqueCount="55">
  <si>
    <t>Survival</t>
  </si>
  <si>
    <t>Intensity</t>
  </si>
  <si>
    <t>Alpha</t>
  </si>
  <si>
    <t>Target = 0</t>
  </si>
  <si>
    <t>Accrual</t>
  </si>
  <si>
    <t>Premium</t>
  </si>
  <si>
    <t>Protection</t>
  </si>
  <si>
    <t>CDS spread</t>
  </si>
  <si>
    <t>Instruction</t>
  </si>
  <si>
    <t>Yearly</t>
  </si>
  <si>
    <t>1 Y</t>
  </si>
  <si>
    <t>2 Y</t>
  </si>
  <si>
    <t>3 Y</t>
  </si>
  <si>
    <t>4 Y</t>
  </si>
  <si>
    <t>5 Y</t>
  </si>
  <si>
    <t>7 Y</t>
  </si>
  <si>
    <t>10 Y</t>
  </si>
  <si>
    <t>Input fields</t>
  </si>
  <si>
    <t>Solver fields</t>
  </si>
  <si>
    <t>Color code</t>
  </si>
  <si>
    <t>Maturity</t>
  </si>
  <si>
    <t>Piecewise Intensity</t>
  </si>
  <si>
    <t>1Y</t>
  </si>
  <si>
    <t>2Y</t>
  </si>
  <si>
    <t>3Y</t>
  </si>
  <si>
    <t>4Y</t>
  </si>
  <si>
    <t>5Y</t>
  </si>
  <si>
    <t>7Y</t>
  </si>
  <si>
    <t>10Y</t>
  </si>
  <si>
    <t>Interest rate</t>
  </si>
  <si>
    <t>Discount</t>
  </si>
  <si>
    <t>Intepolated</t>
  </si>
  <si>
    <t>Cds Spread</t>
  </si>
  <si>
    <t>Recovery Rate</t>
  </si>
  <si>
    <t>LGD</t>
  </si>
  <si>
    <t>Hazard Rate</t>
  </si>
  <si>
    <t>Piecewise Constant Hazard Rate Calibration</t>
  </si>
  <si>
    <t>2. Click Calibrate</t>
  </si>
  <si>
    <t>1. Input  Orange fields</t>
  </si>
  <si>
    <t>Quanlib</t>
  </si>
  <si>
    <t>Excel</t>
  </si>
  <si>
    <t>Difference</t>
  </si>
  <si>
    <t>LGD = 0.3</t>
  </si>
  <si>
    <t>LGD = 0.5</t>
  </si>
  <si>
    <t>CDS + 50bps</t>
  </si>
  <si>
    <t>CDS - 50bps</t>
  </si>
  <si>
    <t>upward 50bps</t>
  </si>
  <si>
    <t>downward 50bps</t>
  </si>
  <si>
    <t>interest rate +200ps</t>
  </si>
  <si>
    <t>interest rate -200ps</t>
  </si>
  <si>
    <t>upward sloping interest rate</t>
  </si>
  <si>
    <t>CDS Curve Twist (tenor &gt; 4Y: no change; tenor &lt;4Y: + 50bps )</t>
  </si>
  <si>
    <t>Original</t>
  </si>
  <si>
    <t>With accrual</t>
  </si>
  <si>
    <t>Without accrual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</si>
</sst>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"/>
    <numFmt numFmtId="165" formatCode="0.0000%"/>
    <numFmt numFmtId="166" formatCode="0.000000"/>
    <numFmt numFmtId="167" formatCode="0.0000000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B0F0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4" fillId="0" borderId="0" applyNumberFormat="0" applyFill="0" applyBorder="0" applyAlignment="0" applyProtection="0">
      <alignment vertical="top"/>
      <protection locked="0"/>
    </xf>
  </cellStyleXfs>
  <cellXfs count="47">
    <xf numFmtId="0" fontId="0" fillId="0" borderId="0" xfId="0"/>
    <xf numFmtId="10" fontId="0" fillId="0" borderId="0" xfId="0" applyNumberFormat="1"/>
    <xf numFmtId="0" fontId="0" fillId="3" borderId="0" xfId="0" applyFill="1"/>
    <xf numFmtId="0" fontId="0" fillId="4" borderId="0" xfId="0" applyFill="1"/>
    <xf numFmtId="164" fontId="2" fillId="4" borderId="2" xfId="0" applyNumberFormat="1" applyFont="1" applyFill="1" applyBorder="1"/>
    <xf numFmtId="10" fontId="0" fillId="4" borderId="0" xfId="1" applyNumberFormat="1" applyFont="1" applyFill="1"/>
    <xf numFmtId="0" fontId="0" fillId="2" borderId="0" xfId="0" applyFill="1"/>
    <xf numFmtId="0" fontId="0" fillId="3" borderId="0" xfId="0" applyFill="1" applyBorder="1"/>
    <xf numFmtId="164" fontId="2" fillId="4" borderId="1" xfId="0" applyNumberFormat="1" applyFont="1" applyFill="1" applyBorder="1"/>
    <xf numFmtId="164" fontId="2" fillId="4" borderId="3" xfId="0" applyNumberFormat="1" applyFont="1" applyFill="1" applyBorder="1"/>
    <xf numFmtId="0" fontId="3" fillId="0" borderId="0" xfId="0" applyFont="1"/>
    <xf numFmtId="0" fontId="4" fillId="0" borderId="0" xfId="2" applyAlignment="1" applyProtection="1"/>
    <xf numFmtId="0" fontId="0" fillId="5" borderId="0" xfId="0" applyFill="1"/>
    <xf numFmtId="10" fontId="0" fillId="5" borderId="0" xfId="1" applyNumberFormat="1" applyFont="1" applyFill="1"/>
    <xf numFmtId="0" fontId="0" fillId="5" borderId="0" xfId="0" applyFill="1" applyBorder="1"/>
    <xf numFmtId="0" fontId="0" fillId="5" borderId="7" xfId="0" applyFill="1" applyBorder="1"/>
    <xf numFmtId="0" fontId="0" fillId="5" borderId="8" xfId="0" applyFill="1" applyBorder="1"/>
    <xf numFmtId="10" fontId="0" fillId="5" borderId="7" xfId="0" applyNumberFormat="1" applyFill="1" applyBorder="1"/>
    <xf numFmtId="10" fontId="0" fillId="5" borderId="8" xfId="0" applyNumberFormat="1" applyFill="1" applyBorder="1"/>
    <xf numFmtId="0" fontId="0" fillId="4" borderId="9" xfId="0" applyFill="1" applyBorder="1"/>
    <xf numFmtId="0" fontId="3" fillId="5" borderId="0" xfId="0" applyFont="1" applyFill="1"/>
    <xf numFmtId="0" fontId="3" fillId="5" borderId="4" xfId="0" applyFont="1" applyFill="1" applyBorder="1"/>
    <xf numFmtId="0" fontId="3" fillId="5" borderId="5" xfId="0" applyFont="1" applyFill="1" applyBorder="1"/>
    <xf numFmtId="0" fontId="3" fillId="5" borderId="6" xfId="0" applyFont="1" applyFill="1" applyBorder="1"/>
    <xf numFmtId="0" fontId="5" fillId="5" borderId="0" xfId="0" applyFont="1" applyFill="1" applyBorder="1"/>
    <xf numFmtId="164" fontId="0" fillId="5" borderId="0" xfId="0" applyNumberFormat="1" applyFill="1" applyBorder="1"/>
    <xf numFmtId="164" fontId="0" fillId="4" borderId="0" xfId="0" applyNumberFormat="1" applyFill="1" applyBorder="1"/>
    <xf numFmtId="164" fontId="5" fillId="5" borderId="0" xfId="0" applyNumberFormat="1" applyFont="1" applyFill="1" applyBorder="1"/>
    <xf numFmtId="165" fontId="0" fillId="0" borderId="0" xfId="0" applyNumberFormat="1"/>
    <xf numFmtId="0" fontId="0" fillId="0" borderId="0" xfId="0" applyFill="1"/>
    <xf numFmtId="10" fontId="0" fillId="2" borderId="0" xfId="1" applyNumberFormat="1" applyFont="1" applyFill="1"/>
    <xf numFmtId="0" fontId="0" fillId="2" borderId="0" xfId="1" applyNumberFormat="1" applyFont="1" applyFill="1"/>
    <xf numFmtId="166" fontId="0" fillId="0" borderId="0" xfId="0" applyNumberFormat="1"/>
    <xf numFmtId="0" fontId="6" fillId="6" borderId="10" xfId="0" applyFont="1" applyFill="1" applyBorder="1"/>
    <xf numFmtId="10" fontId="6" fillId="6" borderId="10" xfId="0" applyNumberFormat="1" applyFont="1" applyFill="1" applyBorder="1"/>
    <xf numFmtId="0" fontId="0" fillId="0" borderId="10" xfId="0" applyBorder="1"/>
    <xf numFmtId="166" fontId="0" fillId="0" borderId="10" xfId="0" applyNumberFormat="1" applyBorder="1"/>
    <xf numFmtId="10" fontId="0" fillId="0" borderId="10" xfId="0" applyNumberFormat="1" applyBorder="1"/>
    <xf numFmtId="0" fontId="0" fillId="0" borderId="11" xfId="0" applyFill="1" applyBorder="1"/>
    <xf numFmtId="0" fontId="0" fillId="0" borderId="11" xfId="0" applyBorder="1"/>
    <xf numFmtId="0" fontId="0" fillId="0" borderId="0" xfId="0" applyBorder="1"/>
    <xf numFmtId="10" fontId="0" fillId="0" borderId="0" xfId="0" applyNumberFormat="1" applyBorder="1"/>
    <xf numFmtId="0" fontId="0" fillId="0" borderId="0" xfId="0" quotePrefix="1"/>
    <xf numFmtId="167" fontId="0" fillId="5" borderId="0" xfId="0" applyNumberFormat="1" applyFill="1" applyBorder="1"/>
    <xf numFmtId="10" fontId="0" fillId="0" borderId="0" xfId="1" applyNumberFormat="1" applyFont="1"/>
    <xf numFmtId="10" fontId="0" fillId="0" borderId="10" xfId="1" applyNumberFormat="1" applyFont="1" applyBorder="1"/>
    <xf numFmtId="0" fontId="3" fillId="0" borderId="0" xfId="0" applyFont="1" applyAlignment="1">
      <alignment horizont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2</xdr:row>
          <xdr:rowOff>180975</xdr:rowOff>
        </xdr:from>
        <xdr:to>
          <xdr:col>13</xdr:col>
          <xdr:colOff>542925</xdr:colOff>
          <xdr:row>5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Calibrate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K69"/>
  <sheetViews>
    <sheetView tabSelected="1" zoomScale="70" zoomScaleNormal="70" workbookViewId="0"/>
  </sheetViews>
  <sheetFormatPr defaultRowHeight="15" x14ac:dyDescent="0.25"/>
  <cols>
    <col min="1" max="1" width="12.28515625" customWidth="1"/>
    <col min="2" max="2" width="10.5703125" customWidth="1"/>
    <col min="5" max="5" width="18.5703125" bestFit="1" customWidth="1"/>
    <col min="6" max="7" width="12" bestFit="1" customWidth="1"/>
    <col min="8" max="8" width="15.7109375" customWidth="1"/>
    <col min="10" max="10" width="12" bestFit="1" customWidth="1"/>
    <col min="11" max="11" width="14.85546875" bestFit="1" customWidth="1"/>
    <col min="12" max="12" width="12" bestFit="1" customWidth="1"/>
    <col min="13" max="13" width="11.140625" customWidth="1"/>
    <col min="14" max="14" width="12" bestFit="1" customWidth="1"/>
    <col min="15" max="15" width="13" customWidth="1"/>
    <col min="16" max="16" width="11.5703125" customWidth="1"/>
    <col min="17" max="17" width="12.7109375" bestFit="1" customWidth="1"/>
    <col min="18" max="18" width="12.140625" customWidth="1"/>
    <col min="19" max="19" width="13.140625" customWidth="1"/>
    <col min="20" max="20" width="10.28515625" bestFit="1" customWidth="1"/>
    <col min="21" max="21" width="12.7109375" bestFit="1" customWidth="1"/>
    <col min="22" max="25" width="12.7109375" customWidth="1"/>
    <col min="26" max="26" width="11" customWidth="1"/>
    <col min="27" max="27" width="12" customWidth="1"/>
    <col min="28" max="28" width="10.7109375" customWidth="1"/>
    <col min="29" max="29" width="9.42578125" bestFit="1" customWidth="1"/>
    <col min="30" max="30" width="12" bestFit="1" customWidth="1"/>
    <col min="32" max="32" width="12.7109375" bestFit="1" customWidth="1"/>
    <col min="33" max="33" width="9.42578125" bestFit="1" customWidth="1"/>
    <col min="34" max="34" width="12" bestFit="1" customWidth="1"/>
    <col min="36" max="36" width="12.7109375" bestFit="1" customWidth="1"/>
    <col min="37" max="37" width="9.42578125" bestFit="1" customWidth="1"/>
  </cols>
  <sheetData>
    <row r="1" spans="1:37" x14ac:dyDescent="0.25">
      <c r="A1" s="10" t="s">
        <v>36</v>
      </c>
      <c r="B1" s="10"/>
      <c r="H1" s="10" t="s">
        <v>19</v>
      </c>
      <c r="J1" s="10"/>
    </row>
    <row r="2" spans="1:37" x14ac:dyDescent="0.25">
      <c r="A2" s="10" t="s">
        <v>8</v>
      </c>
      <c r="B2" s="10"/>
      <c r="C2" t="s">
        <v>38</v>
      </c>
      <c r="H2" s="6"/>
      <c r="I2" t="s">
        <v>17</v>
      </c>
      <c r="J2" s="11"/>
    </row>
    <row r="3" spans="1:37" x14ac:dyDescent="0.25">
      <c r="C3" t="s">
        <v>37</v>
      </c>
      <c r="H3" s="3"/>
      <c r="I3" t="s">
        <v>18</v>
      </c>
      <c r="J3" s="11"/>
    </row>
    <row r="4" spans="1:37" x14ac:dyDescent="0.25">
      <c r="H4" s="29"/>
      <c r="J4" s="11"/>
    </row>
    <row r="5" spans="1:37" x14ac:dyDescent="0.25">
      <c r="B5" t="s">
        <v>32</v>
      </c>
      <c r="E5" t="s">
        <v>29</v>
      </c>
      <c r="H5" t="s">
        <v>33</v>
      </c>
      <c r="J5" t="s">
        <v>35</v>
      </c>
      <c r="Q5" s="42"/>
      <c r="R5" s="42"/>
    </row>
    <row r="6" spans="1:37" x14ac:dyDescent="0.25">
      <c r="B6" t="s">
        <v>22</v>
      </c>
      <c r="C6" s="31">
        <v>67.5</v>
      </c>
      <c r="E6" t="s">
        <v>22</v>
      </c>
      <c r="F6" s="30">
        <v>0.01</v>
      </c>
      <c r="G6" s="1"/>
      <c r="H6" s="6">
        <v>0.4</v>
      </c>
      <c r="J6" t="s">
        <v>22</v>
      </c>
      <c r="K6" s="32">
        <f>E18</f>
        <v>1.125E-2</v>
      </c>
      <c r="X6" s="44"/>
      <c r="Z6" s="44"/>
      <c r="AB6" s="44"/>
      <c r="AD6" s="44"/>
    </row>
    <row r="7" spans="1:37" x14ac:dyDescent="0.25">
      <c r="B7" t="s">
        <v>23</v>
      </c>
      <c r="C7" s="31">
        <v>84.5</v>
      </c>
      <c r="E7" t="s">
        <v>23</v>
      </c>
      <c r="F7" s="30">
        <v>0.01</v>
      </c>
      <c r="H7" t="s">
        <v>34</v>
      </c>
      <c r="J7" t="s">
        <v>23</v>
      </c>
      <c r="K7" s="32">
        <f>E22</f>
        <v>1.6987885565760703E-2</v>
      </c>
      <c r="X7" s="44"/>
      <c r="Z7" s="44"/>
      <c r="AB7" s="44"/>
      <c r="AD7" s="44"/>
    </row>
    <row r="8" spans="1:37" x14ac:dyDescent="0.25">
      <c r="B8" t="s">
        <v>24</v>
      </c>
      <c r="C8" s="31">
        <v>100.5</v>
      </c>
      <c r="E8" t="s">
        <v>24</v>
      </c>
      <c r="F8" s="30">
        <v>0.01</v>
      </c>
      <c r="H8">
        <f>1-H6</f>
        <v>0.6</v>
      </c>
      <c r="J8" t="s">
        <v>24</v>
      </c>
      <c r="K8" s="32">
        <f>E26</f>
        <v>2.2316531212516543E-2</v>
      </c>
      <c r="X8" s="44"/>
      <c r="Z8" s="44"/>
      <c r="AB8" s="44"/>
      <c r="AD8" s="44"/>
    </row>
    <row r="9" spans="1:37" x14ac:dyDescent="0.25">
      <c r="B9" t="s">
        <v>25</v>
      </c>
      <c r="C9" s="31">
        <v>120</v>
      </c>
      <c r="E9" t="s">
        <v>25</v>
      </c>
      <c r="F9" s="30">
        <v>0.01</v>
      </c>
      <c r="J9" t="s">
        <v>25</v>
      </c>
      <c r="K9" s="32">
        <f>E30</f>
        <v>3.0416134708632008E-2</v>
      </c>
      <c r="X9" s="44"/>
      <c r="Z9" s="44"/>
      <c r="AB9" s="44"/>
      <c r="AD9" s="44"/>
    </row>
    <row r="10" spans="1:37" x14ac:dyDescent="0.25">
      <c r="B10" t="s">
        <v>26</v>
      </c>
      <c r="C10" s="31">
        <v>137.57</v>
      </c>
      <c r="E10" t="s">
        <v>26</v>
      </c>
      <c r="F10" s="30">
        <v>0.01</v>
      </c>
      <c r="J10" t="s">
        <v>26</v>
      </c>
      <c r="K10" s="32">
        <f>E34</f>
        <v>3.5792654062851516E-2</v>
      </c>
      <c r="X10" s="44"/>
      <c r="Z10" s="44"/>
      <c r="AB10" s="44"/>
      <c r="AD10" s="44"/>
    </row>
    <row r="11" spans="1:37" x14ac:dyDescent="0.25">
      <c r="B11" t="s">
        <v>27</v>
      </c>
      <c r="C11" s="31">
        <v>161.52000000000001</v>
      </c>
      <c r="E11" t="s">
        <v>27</v>
      </c>
      <c r="F11" s="30">
        <v>0.01</v>
      </c>
      <c r="J11" t="s">
        <v>27</v>
      </c>
      <c r="K11" s="32">
        <f>E42</f>
        <v>3.8480361456094549E-2</v>
      </c>
      <c r="X11" s="44"/>
      <c r="Z11" s="44"/>
      <c r="AB11" s="44"/>
      <c r="AD11" s="44"/>
    </row>
    <row r="12" spans="1:37" x14ac:dyDescent="0.25">
      <c r="B12" t="s">
        <v>28</v>
      </c>
      <c r="C12" s="31">
        <v>178.66</v>
      </c>
      <c r="E12" t="s">
        <v>28</v>
      </c>
      <c r="F12" s="30">
        <v>0.01</v>
      </c>
      <c r="J12" t="s">
        <v>28</v>
      </c>
      <c r="K12" s="32">
        <f>E54</f>
        <v>3.8144120300511168E-2</v>
      </c>
      <c r="X12" s="44"/>
      <c r="Z12" s="44"/>
      <c r="AB12" s="44"/>
      <c r="AD12" s="44"/>
    </row>
    <row r="13" spans="1:37" ht="15.75" thickBot="1" x14ac:dyDescent="0.3">
      <c r="J13" s="46" t="s">
        <v>10</v>
      </c>
      <c r="K13" s="46"/>
      <c r="L13" s="46"/>
      <c r="M13" s="46"/>
      <c r="N13" s="46" t="s">
        <v>11</v>
      </c>
      <c r="O13" s="46"/>
      <c r="P13" s="46"/>
      <c r="Q13" s="46"/>
      <c r="R13" s="46" t="s">
        <v>12</v>
      </c>
      <c r="S13" s="46"/>
      <c r="T13" s="46"/>
      <c r="U13" s="46"/>
      <c r="V13" s="46" t="s">
        <v>13</v>
      </c>
      <c r="W13" s="46"/>
      <c r="X13" s="46"/>
      <c r="Y13" s="46"/>
      <c r="Z13" s="46" t="s">
        <v>14</v>
      </c>
      <c r="AA13" s="46"/>
      <c r="AB13" s="46"/>
      <c r="AC13" s="46"/>
      <c r="AD13" s="46" t="s">
        <v>15</v>
      </c>
      <c r="AE13" s="46"/>
      <c r="AF13" s="46"/>
      <c r="AG13" s="46"/>
      <c r="AH13" s="46" t="s">
        <v>16</v>
      </c>
      <c r="AI13" s="46"/>
      <c r="AJ13" s="46"/>
      <c r="AK13" s="46"/>
    </row>
    <row r="14" spans="1:37" x14ac:dyDescent="0.25">
      <c r="A14" s="10" t="s">
        <v>31</v>
      </c>
      <c r="B14" s="10" t="s">
        <v>30</v>
      </c>
      <c r="C14" s="12"/>
      <c r="D14" s="12"/>
      <c r="E14" s="20" t="s">
        <v>21</v>
      </c>
      <c r="F14" s="20" t="s">
        <v>7</v>
      </c>
      <c r="G14" s="20" t="s">
        <v>0</v>
      </c>
      <c r="H14" s="20" t="s">
        <v>2</v>
      </c>
      <c r="I14" s="12"/>
      <c r="J14" s="21" t="s">
        <v>4</v>
      </c>
      <c r="K14" s="22" t="s">
        <v>5</v>
      </c>
      <c r="L14" s="22" t="s">
        <v>6</v>
      </c>
      <c r="M14" s="23" t="s">
        <v>3</v>
      </c>
      <c r="N14" s="21" t="s">
        <v>4</v>
      </c>
      <c r="O14" s="22" t="s">
        <v>5</v>
      </c>
      <c r="P14" s="22" t="s">
        <v>6</v>
      </c>
      <c r="Q14" s="23" t="s">
        <v>3</v>
      </c>
      <c r="R14" s="21" t="s">
        <v>4</v>
      </c>
      <c r="S14" s="22" t="s">
        <v>5</v>
      </c>
      <c r="T14" s="22" t="s">
        <v>6</v>
      </c>
      <c r="U14" s="23" t="s">
        <v>3</v>
      </c>
      <c r="V14" s="21" t="s">
        <v>4</v>
      </c>
      <c r="W14" s="22" t="s">
        <v>5</v>
      </c>
      <c r="X14" s="22" t="s">
        <v>6</v>
      </c>
      <c r="Y14" s="23" t="s">
        <v>3</v>
      </c>
      <c r="Z14" s="21" t="s">
        <v>4</v>
      </c>
      <c r="AA14" s="22" t="s">
        <v>5</v>
      </c>
      <c r="AB14" s="22" t="s">
        <v>6</v>
      </c>
      <c r="AC14" s="23" t="s">
        <v>3</v>
      </c>
      <c r="AD14" s="21" t="s">
        <v>4</v>
      </c>
      <c r="AE14" s="22" t="s">
        <v>5</v>
      </c>
      <c r="AF14" s="22" t="s">
        <v>6</v>
      </c>
      <c r="AG14" s="23" t="s">
        <v>3</v>
      </c>
      <c r="AH14" s="21" t="s">
        <v>4</v>
      </c>
      <c r="AI14" s="22" t="s">
        <v>5</v>
      </c>
      <c r="AJ14" s="22" t="s">
        <v>6</v>
      </c>
      <c r="AK14" s="23" t="s">
        <v>3</v>
      </c>
    </row>
    <row r="15" spans="1:37" x14ac:dyDescent="0.25">
      <c r="A15" s="28">
        <f t="shared" ref="A15:A17" si="0">$F$6</f>
        <v>0.01</v>
      </c>
      <c r="B15">
        <f>EXP(-A15*D15)</f>
        <v>0.99750312239746008</v>
      </c>
      <c r="C15" s="12">
        <v>0.25</v>
      </c>
      <c r="D15" s="12">
        <v>0.25</v>
      </c>
      <c r="E15" s="24">
        <f>E18</f>
        <v>1.125E-2</v>
      </c>
      <c r="F15" s="12">
        <f>F18</f>
        <v>67.5</v>
      </c>
      <c r="G15" s="13">
        <f>EXP(-E15*C15)</f>
        <v>0.99719145137284493</v>
      </c>
      <c r="H15" s="12">
        <v>0.25</v>
      </c>
      <c r="I15" s="12"/>
      <c r="J15" s="15"/>
      <c r="K15" s="43">
        <f>F15/10000*H15*G15*B15</f>
        <v>1.6785589270035394E-3</v>
      </c>
      <c r="L15" s="14">
        <f>-$H$8*E15*G15*H15*B15</f>
        <v>-1.6785589270035394E-3</v>
      </c>
      <c r="M15" s="16"/>
      <c r="N15" s="15"/>
      <c r="O15" s="14">
        <f>$F$19/10000*H15*G15*B15</f>
        <v>2.1013071012118381E-3</v>
      </c>
      <c r="P15" s="14">
        <f>-$H$8*E15*G15*H15*B15</f>
        <v>-1.6785589270035394E-3</v>
      </c>
      <c r="Q15" s="18"/>
      <c r="R15" s="15"/>
      <c r="S15" s="14">
        <f>$F$23/10000*H15*G15*B15</f>
        <v>2.4991877357608255E-3</v>
      </c>
      <c r="T15" s="14">
        <f>-$H$8*E15*G15*H15*B15</f>
        <v>-1.6785589270035394E-3</v>
      </c>
      <c r="U15" s="16"/>
      <c r="V15" s="15"/>
      <c r="W15" s="14">
        <f>$F$27/10000*H15*G15*B15</f>
        <v>2.9841047591174035E-3</v>
      </c>
      <c r="X15" s="14">
        <f>-$H$8*E15*G15*H15*B15</f>
        <v>-1.6785589270035394E-3</v>
      </c>
      <c r="Y15" s="16"/>
      <c r="Z15" s="17"/>
      <c r="AA15" s="14">
        <f>$F$31/10000*H15*G15*B15</f>
        <v>3.4210274309315098E-3</v>
      </c>
      <c r="AB15" s="14">
        <f>-$H$8*E15*G15*H15*B15</f>
        <v>-1.6785589270035394E-3</v>
      </c>
      <c r="AC15" s="16"/>
      <c r="AD15" s="15"/>
      <c r="AE15" s="14">
        <f>$F$35/10000*H15*G15*B15</f>
        <v>4.0166050057720247E-3</v>
      </c>
      <c r="AF15" s="14">
        <f>-$H$8*E15*G15*H15*B15</f>
        <v>-1.6785589270035394E-3</v>
      </c>
      <c r="AG15" s="16"/>
      <c r="AH15" s="15"/>
      <c r="AI15" s="14">
        <f>$F$43/10000*H15*G15*B15</f>
        <v>4.4428346355326279E-3</v>
      </c>
      <c r="AJ15" s="14">
        <f>-$H$8*E15*G15*H15*B15</f>
        <v>-1.6785589270035394E-3</v>
      </c>
      <c r="AK15" s="16"/>
    </row>
    <row r="16" spans="1:37" x14ac:dyDescent="0.25">
      <c r="A16" s="28">
        <f t="shared" si="0"/>
        <v>0.01</v>
      </c>
      <c r="B16">
        <f t="shared" ref="B16:B53" si="1">EXP(-A16*D16)</f>
        <v>0.99501247919268232</v>
      </c>
      <c r="C16" s="12">
        <v>0.5</v>
      </c>
      <c r="D16" s="12">
        <v>0.5</v>
      </c>
      <c r="E16" s="25">
        <f>E18</f>
        <v>1.125E-2</v>
      </c>
      <c r="F16" s="12">
        <f>F18</f>
        <v>67.5</v>
      </c>
      <c r="G16" s="13">
        <f>EXP(-E16*C16)</f>
        <v>0.99439079069108094</v>
      </c>
      <c r="H16" s="12">
        <v>0.25</v>
      </c>
      <c r="I16" s="12"/>
      <c r="J16" s="15"/>
      <c r="K16" s="43">
        <f t="shared" ref="K16:K18" si="2">F16/10000*H16*G16*B16</f>
        <v>1.6696652275100883E-3</v>
      </c>
      <c r="L16" s="14">
        <f t="shared" ref="L16:L18" si="3">-$H$8*E16*G16*H16*B16</f>
        <v>-1.6696652275100883E-3</v>
      </c>
      <c r="M16" s="16"/>
      <c r="N16" s="15"/>
      <c r="O16" s="14">
        <f t="shared" ref="O16:O22" si="4">$F$19/10000*H16*G16*B16</f>
        <v>2.090173507031147E-3</v>
      </c>
      <c r="P16" s="14">
        <f t="shared" ref="P16:P22" si="5">-$H$8*E16*G16*H16*B16</f>
        <v>-1.6696652275100883E-3</v>
      </c>
      <c r="Q16" s="18"/>
      <c r="R16" s="15"/>
      <c r="S16" s="14">
        <f t="shared" ref="S16:S26" si="6">$F$23/10000*H16*G16*B16</f>
        <v>2.4859460054039088E-3</v>
      </c>
      <c r="T16" s="14">
        <f t="shared" ref="T16:T26" si="7">-$H$8*E16*G16*H16*B16</f>
        <v>-1.6696652275100883E-3</v>
      </c>
      <c r="U16" s="18"/>
      <c r="V16" s="15"/>
      <c r="W16" s="14">
        <f t="shared" ref="W16:W30" si="8">$F$27/10000*H16*G16*B16</f>
        <v>2.9682937377957124E-3</v>
      </c>
      <c r="X16" s="14">
        <f t="shared" ref="X16:X30" si="9">-$H$8*E16*G16*H16*B16</f>
        <v>-1.6696652275100883E-3</v>
      </c>
      <c r="Y16" s="18"/>
      <c r="Z16" s="17"/>
      <c r="AA16" s="14">
        <f t="shared" ref="AA16:AA34" si="10">$F$31/10000*H16*G16*B16</f>
        <v>3.4029014125713012E-3</v>
      </c>
      <c r="AB16" s="14">
        <f t="shared" ref="AB16:AB34" si="11">-$H$8*E16*G16*H16*B16</f>
        <v>-1.6696652275100883E-3</v>
      </c>
      <c r="AC16" s="16"/>
      <c r="AD16" s="15"/>
      <c r="AE16" s="14">
        <f t="shared" ref="AE16:AE42" si="12">$F$35/10000*H16*G16*B16</f>
        <v>3.9953233710730294E-3</v>
      </c>
      <c r="AF16" s="14">
        <f t="shared" ref="AF16:AF42" si="13">-$H$8*E16*G16*H16*B16</f>
        <v>-1.6696652275100883E-3</v>
      </c>
      <c r="AG16" s="16"/>
      <c r="AH16" s="15"/>
      <c r="AI16" s="14">
        <f t="shared" ref="AI16:AI54" si="14">$F$43/10000*H16*G16*B16</f>
        <v>4.4192946599548501E-3</v>
      </c>
      <c r="AJ16" s="14">
        <f>-$H$8*E16*G16*H16*B16</f>
        <v>-1.6696652275100883E-3</v>
      </c>
      <c r="AK16" s="16"/>
    </row>
    <row r="17" spans="1:37" x14ac:dyDescent="0.25">
      <c r="A17" s="28">
        <f t="shared" si="0"/>
        <v>0.01</v>
      </c>
      <c r="B17">
        <f>EXP(-A17*D17)</f>
        <v>0.99252805481913842</v>
      </c>
      <c r="C17" s="12">
        <v>0.75</v>
      </c>
      <c r="D17" s="12">
        <v>0.75</v>
      </c>
      <c r="E17" s="25">
        <f>E18</f>
        <v>1.125E-2</v>
      </c>
      <c r="F17" s="12">
        <f>F18</f>
        <v>67.5</v>
      </c>
      <c r="G17" s="13">
        <f>EXP(-E17*C17)</f>
        <v>0.99159799580102981</v>
      </c>
      <c r="H17" s="12">
        <v>0.25</v>
      </c>
      <c r="I17" s="12"/>
      <c r="J17" s="15"/>
      <c r="K17" s="43">
        <f t="shared" si="2"/>
        <v>1.6608186505152321E-3</v>
      </c>
      <c r="L17" s="14">
        <f t="shared" si="3"/>
        <v>-1.6608186505152321E-3</v>
      </c>
      <c r="M17" s="16"/>
      <c r="N17" s="15"/>
      <c r="O17" s="14">
        <f t="shared" si="4"/>
        <v>2.0790989032375864E-3</v>
      </c>
      <c r="P17" s="14">
        <f t="shared" si="5"/>
        <v>-1.6608186505152321E-3</v>
      </c>
      <c r="Q17" s="18"/>
      <c r="R17" s="15"/>
      <c r="S17" s="14">
        <f t="shared" si="6"/>
        <v>2.4727744352115674E-3</v>
      </c>
      <c r="T17" s="14">
        <f t="shared" si="7"/>
        <v>-1.6608186505152321E-3</v>
      </c>
      <c r="U17" s="18"/>
      <c r="V17" s="15"/>
      <c r="W17" s="14">
        <f t="shared" si="8"/>
        <v>2.9525664898048566E-3</v>
      </c>
      <c r="X17" s="14">
        <f t="shared" si="9"/>
        <v>-1.6608186505152321E-3</v>
      </c>
      <c r="Y17" s="18"/>
      <c r="Z17" s="17"/>
      <c r="AA17" s="14">
        <f t="shared" si="10"/>
        <v>3.3848714333537849E-3</v>
      </c>
      <c r="AB17" s="14">
        <f t="shared" si="11"/>
        <v>-1.6608186505152321E-3</v>
      </c>
      <c r="AC17" s="16"/>
      <c r="AD17" s="15"/>
      <c r="AE17" s="14">
        <f t="shared" si="12"/>
        <v>3.9741544952773371E-3</v>
      </c>
      <c r="AF17" s="14">
        <f t="shared" si="13"/>
        <v>-1.6608186505152321E-3</v>
      </c>
      <c r="AG17" s="16"/>
      <c r="AH17" s="15"/>
      <c r="AI17" s="14">
        <f t="shared" si="14"/>
        <v>4.3958794089044651E-3</v>
      </c>
      <c r="AJ17" s="14">
        <f t="shared" ref="AJ17:AJ54" si="15">-$H$8*E17*G17*H17*B17</f>
        <v>-1.6608186505152321E-3</v>
      </c>
      <c r="AK17" s="16"/>
    </row>
    <row r="18" spans="1:37" ht="15.75" thickBot="1" x14ac:dyDescent="0.3">
      <c r="A18" s="28">
        <f>$F$6</f>
        <v>0.01</v>
      </c>
      <c r="B18">
        <f t="shared" si="1"/>
        <v>0.99004983374916811</v>
      </c>
      <c r="C18" s="12">
        <v>1</v>
      </c>
      <c r="D18" s="12">
        <v>1</v>
      </c>
      <c r="E18" s="26">
        <v>1.125E-2</v>
      </c>
      <c r="F18" s="12">
        <f>C6</f>
        <v>67.5</v>
      </c>
      <c r="G18" s="13">
        <f>EXP(-E18*C18)</f>
        <v>0.98881304461123309</v>
      </c>
      <c r="H18" s="12">
        <v>0.25</v>
      </c>
      <c r="I18" s="12"/>
      <c r="J18" s="15"/>
      <c r="K18" s="43">
        <f t="shared" si="2"/>
        <v>1.6520189463444827E-3</v>
      </c>
      <c r="L18" s="14">
        <f t="shared" si="3"/>
        <v>-1.6520189463444827E-3</v>
      </c>
      <c r="M18" s="19">
        <f>SUM(J15:L18)</f>
        <v>0</v>
      </c>
      <c r="N18" s="15"/>
      <c r="O18" s="14">
        <f t="shared" si="4"/>
        <v>2.0680829772756855E-3</v>
      </c>
      <c r="P18" s="14">
        <f t="shared" si="5"/>
        <v>-1.6520189463444827E-3</v>
      </c>
      <c r="Q18" s="16"/>
      <c r="R18" s="15"/>
      <c r="S18" s="14">
        <f t="shared" si="6"/>
        <v>2.4596726534462294E-3</v>
      </c>
      <c r="T18" s="14">
        <f t="shared" si="7"/>
        <v>-1.6520189463444827E-3</v>
      </c>
      <c r="U18" s="16"/>
      <c r="V18" s="15"/>
      <c r="W18" s="14">
        <f t="shared" si="8"/>
        <v>2.9369225712790803E-3</v>
      </c>
      <c r="X18" s="14">
        <f t="shared" si="9"/>
        <v>-1.6520189463444827E-3</v>
      </c>
      <c r="Y18" s="16"/>
      <c r="Z18" s="17"/>
      <c r="AA18" s="14">
        <f t="shared" si="10"/>
        <v>3.3669369844238589E-3</v>
      </c>
      <c r="AB18" s="14">
        <f t="shared" si="11"/>
        <v>-1.6520189463444827E-3</v>
      </c>
      <c r="AC18" s="16"/>
      <c r="AD18" s="15"/>
      <c r="AE18" s="14">
        <f t="shared" si="12"/>
        <v>3.9530977809416421E-3</v>
      </c>
      <c r="AF18" s="14">
        <f t="shared" si="13"/>
        <v>-1.6520189463444827E-3</v>
      </c>
      <c r="AG18" s="16"/>
      <c r="AH18" s="15"/>
      <c r="AI18" s="14">
        <f t="shared" si="14"/>
        <v>4.3725882215393374E-3</v>
      </c>
      <c r="AJ18" s="14">
        <f t="shared" si="15"/>
        <v>-1.6520189463444827E-3</v>
      </c>
      <c r="AK18" s="16"/>
    </row>
    <row r="19" spans="1:37" x14ac:dyDescent="0.25">
      <c r="A19" s="28">
        <f>($F$7-$F$6)/($D$22-$D$18)*C19+$F$6</f>
        <v>0.01</v>
      </c>
      <c r="B19">
        <f t="shared" si="1"/>
        <v>0.98757780049388144</v>
      </c>
      <c r="C19" s="12">
        <v>0.25</v>
      </c>
      <c r="D19" s="12">
        <v>1.25</v>
      </c>
      <c r="E19" s="27">
        <f>E22</f>
        <v>1.6987885565760703E-2</v>
      </c>
      <c r="F19" s="12">
        <f>F22</f>
        <v>84.5</v>
      </c>
      <c r="G19" s="13">
        <f>EXP(-$E$18*1-E19*C19)</f>
        <v>0.98462248878331504</v>
      </c>
      <c r="H19" s="12">
        <v>0.25</v>
      </c>
      <c r="I19" s="12"/>
      <c r="J19" s="12"/>
      <c r="K19" s="12"/>
      <c r="L19" s="12"/>
      <c r="M19" s="12"/>
      <c r="N19" s="15"/>
      <c r="O19" s="14">
        <f t="shared" si="4"/>
        <v>2.0541766461551871E-3</v>
      </c>
      <c r="P19" s="14">
        <f t="shared" si="5"/>
        <v>-2.4778308494728353E-3</v>
      </c>
      <c r="Q19" s="16"/>
      <c r="R19" s="15"/>
      <c r="S19" s="14">
        <f t="shared" si="6"/>
        <v>2.443133170870962E-3</v>
      </c>
      <c r="T19" s="14">
        <f t="shared" si="7"/>
        <v>-2.4778308494728353E-3</v>
      </c>
      <c r="U19" s="16"/>
      <c r="V19" s="15"/>
      <c r="W19" s="14">
        <f t="shared" si="8"/>
        <v>2.9171739353683131E-3</v>
      </c>
      <c r="X19" s="14">
        <f t="shared" si="9"/>
        <v>-2.4778308494728353E-3</v>
      </c>
      <c r="Y19" s="16"/>
      <c r="Z19" s="17"/>
      <c r="AA19" s="14">
        <f t="shared" si="10"/>
        <v>3.3442968190718239E-3</v>
      </c>
      <c r="AB19" s="14">
        <f t="shared" si="11"/>
        <v>-2.4778308494728353E-3</v>
      </c>
      <c r="AC19" s="16"/>
      <c r="AD19" s="15"/>
      <c r="AE19" s="14">
        <f t="shared" si="12"/>
        <v>3.9265161170057494E-3</v>
      </c>
      <c r="AF19" s="14">
        <f t="shared" si="13"/>
        <v>-2.4778308494728353E-3</v>
      </c>
      <c r="AG19" s="16"/>
      <c r="AH19" s="15"/>
      <c r="AI19" s="14">
        <f t="shared" si="14"/>
        <v>4.3431857941075231E-3</v>
      </c>
      <c r="AJ19" s="14">
        <f t="shared" si="15"/>
        <v>-2.4778308494728353E-3</v>
      </c>
      <c r="AK19" s="16"/>
    </row>
    <row r="20" spans="1:37" x14ac:dyDescent="0.25">
      <c r="A20" s="28">
        <f t="shared" ref="A20:A22" si="16">($F$7-$F$6)/($D$22-$D$18)*C20+$F$6</f>
        <v>0.01</v>
      </c>
      <c r="B20">
        <f t="shared" si="1"/>
        <v>0.98511193960306265</v>
      </c>
      <c r="C20" s="12">
        <v>0.5</v>
      </c>
      <c r="D20" s="12">
        <v>1.5</v>
      </c>
      <c r="E20" s="25">
        <f>E22</f>
        <v>1.6987885565760703E-2</v>
      </c>
      <c r="F20" s="12">
        <f>F22</f>
        <v>84.5</v>
      </c>
      <c r="G20" s="13">
        <f>EXP(-$E$18*1-E20*C20)</f>
        <v>0.98044969238751867</v>
      </c>
      <c r="H20" s="12">
        <v>0.25</v>
      </c>
      <c r="I20" s="12"/>
      <c r="J20" s="12"/>
      <c r="K20" s="12"/>
      <c r="L20" s="12"/>
      <c r="M20" s="12"/>
      <c r="N20" s="15"/>
      <c r="O20" s="14">
        <f t="shared" si="4"/>
        <v>2.0403638248441872E-3</v>
      </c>
      <c r="P20" s="14">
        <f t="shared" si="5"/>
        <v>-2.4611692664358014E-3</v>
      </c>
      <c r="Q20" s="16"/>
      <c r="R20" s="15"/>
      <c r="S20" s="14">
        <f t="shared" si="6"/>
        <v>2.4267049041046254E-3</v>
      </c>
      <c r="T20" s="14">
        <f t="shared" si="7"/>
        <v>-2.4611692664358014E-3</v>
      </c>
      <c r="U20" s="16"/>
      <c r="V20" s="15"/>
      <c r="W20" s="14">
        <f t="shared" si="8"/>
        <v>2.8975580944532839E-3</v>
      </c>
      <c r="X20" s="14">
        <f t="shared" si="9"/>
        <v>-2.4611692664358014E-3</v>
      </c>
      <c r="Y20" s="16"/>
      <c r="Z20" s="17"/>
      <c r="AA20" s="14">
        <f t="shared" si="10"/>
        <v>3.3218088921161521E-3</v>
      </c>
      <c r="AB20" s="14">
        <f t="shared" si="11"/>
        <v>-2.4611692664358014E-3</v>
      </c>
      <c r="AC20" s="16"/>
      <c r="AD20" s="15"/>
      <c r="AE20" s="14">
        <f t="shared" si="12"/>
        <v>3.90011319513412E-3</v>
      </c>
      <c r="AF20" s="14">
        <f t="shared" si="13"/>
        <v>-2.4611692664358014E-3</v>
      </c>
      <c r="AG20" s="16"/>
      <c r="AH20" s="15"/>
      <c r="AI20" s="14">
        <f t="shared" si="14"/>
        <v>4.3139810762918649E-3</v>
      </c>
      <c r="AJ20" s="14">
        <f t="shared" si="15"/>
        <v>-2.4611692664358014E-3</v>
      </c>
      <c r="AK20" s="16"/>
    </row>
    <row r="21" spans="1:37" x14ac:dyDescent="0.25">
      <c r="A21" s="28">
        <f t="shared" si="16"/>
        <v>0.01</v>
      </c>
      <c r="B21">
        <f t="shared" si="1"/>
        <v>0.9826522356650732</v>
      </c>
      <c r="C21" s="12">
        <v>0.75</v>
      </c>
      <c r="D21" s="12">
        <v>1.75</v>
      </c>
      <c r="E21" s="25">
        <f>E22</f>
        <v>1.6987885565760703E-2</v>
      </c>
      <c r="F21" s="12">
        <f>F22</f>
        <v>84.5</v>
      </c>
      <c r="G21" s="13">
        <f>EXP(-$E$18*1-E21*C21)</f>
        <v>0.97629458015997894</v>
      </c>
      <c r="H21" s="12">
        <v>0.25</v>
      </c>
      <c r="I21" s="12"/>
      <c r="J21" s="12"/>
      <c r="K21" s="12"/>
      <c r="L21" s="12"/>
      <c r="M21" s="12"/>
      <c r="N21" s="15"/>
      <c r="O21" s="14">
        <f t="shared" si="4"/>
        <v>2.0266438845582581E-3</v>
      </c>
      <c r="P21" s="14">
        <f t="shared" si="5"/>
        <v>-2.4446197202431549E-3</v>
      </c>
      <c r="Q21" s="16"/>
      <c r="R21" s="15"/>
      <c r="S21" s="14">
        <f t="shared" si="6"/>
        <v>2.4103871053030171E-3</v>
      </c>
      <c r="T21" s="14">
        <f t="shared" si="7"/>
        <v>-2.4446197202431549E-3</v>
      </c>
      <c r="U21" s="16"/>
      <c r="V21" s="15"/>
      <c r="W21" s="14">
        <f t="shared" si="8"/>
        <v>2.8780741555856923E-3</v>
      </c>
      <c r="X21" s="14">
        <f t="shared" si="9"/>
        <v>-2.4446197202431549E-3</v>
      </c>
      <c r="Y21" s="16"/>
      <c r="Z21" s="17"/>
      <c r="AA21" s="14">
        <f t="shared" si="10"/>
        <v>3.2994721798660304E-3</v>
      </c>
      <c r="AB21" s="14">
        <f t="shared" si="11"/>
        <v>-2.4446197202431549E-3</v>
      </c>
      <c r="AC21" s="16"/>
      <c r="AD21" s="15"/>
      <c r="AE21" s="14">
        <f t="shared" si="12"/>
        <v>3.8738878134183417E-3</v>
      </c>
      <c r="AF21" s="14">
        <f t="shared" si="13"/>
        <v>-2.4446197202431549E-3</v>
      </c>
      <c r="AG21" s="16"/>
      <c r="AH21" s="15"/>
      <c r="AI21" s="14">
        <f t="shared" si="14"/>
        <v>4.2849727386411645E-3</v>
      </c>
      <c r="AJ21" s="14">
        <f t="shared" si="15"/>
        <v>-2.4446197202431549E-3</v>
      </c>
      <c r="AK21" s="16"/>
    </row>
    <row r="22" spans="1:37" ht="15.75" thickBot="1" x14ac:dyDescent="0.3">
      <c r="A22" s="28">
        <f t="shared" si="16"/>
        <v>0.01</v>
      </c>
      <c r="B22">
        <f t="shared" si="1"/>
        <v>0.98019867330675525</v>
      </c>
      <c r="C22" s="12">
        <v>1</v>
      </c>
      <c r="D22" s="12">
        <v>2</v>
      </c>
      <c r="E22" s="26">
        <v>1.6987885565760703E-2</v>
      </c>
      <c r="F22" s="12">
        <f>C7</f>
        <v>84.5</v>
      </c>
      <c r="G22" s="13">
        <f>EXP(-$E$18*1-E22*C22)</f>
        <v>0.97215707715579602</v>
      </c>
      <c r="H22" s="12">
        <v>0.25</v>
      </c>
      <c r="I22" s="12"/>
      <c r="J22" s="12"/>
      <c r="K22" s="12"/>
      <c r="L22" s="12"/>
      <c r="M22" s="12"/>
      <c r="N22" s="15"/>
      <c r="O22" s="14">
        <f t="shared" si="4"/>
        <v>2.0130162007410803E-3</v>
      </c>
      <c r="P22" s="14">
        <f t="shared" si="5"/>
        <v>-2.4281814575298349E-3</v>
      </c>
      <c r="Q22" s="19">
        <f>SUM(N15:P22)</f>
        <v>0</v>
      </c>
      <c r="R22" s="15"/>
      <c r="S22" s="14">
        <f t="shared" si="6"/>
        <v>2.3941790316506337E-3</v>
      </c>
      <c r="T22" s="14">
        <f t="shared" si="7"/>
        <v>-2.4281814575298349E-3</v>
      </c>
      <c r="U22" s="16"/>
      <c r="V22" s="15"/>
      <c r="W22" s="14">
        <f t="shared" si="8"/>
        <v>2.8587212318216524E-3</v>
      </c>
      <c r="X22" s="14">
        <f t="shared" si="9"/>
        <v>-2.4281814575298349E-3</v>
      </c>
      <c r="Y22" s="16"/>
      <c r="Z22" s="17"/>
      <c r="AA22" s="14">
        <f t="shared" si="10"/>
        <v>3.2772856655142058E-3</v>
      </c>
      <c r="AB22" s="14">
        <f t="shared" si="11"/>
        <v>-2.4281814575298349E-3</v>
      </c>
      <c r="AC22" s="16"/>
      <c r="AD22" s="15"/>
      <c r="AE22" s="14">
        <f t="shared" si="12"/>
        <v>3.8478387780319446E-3</v>
      </c>
      <c r="AF22" s="14">
        <f t="shared" si="13"/>
        <v>-2.4281814575298349E-3</v>
      </c>
      <c r="AG22" s="16"/>
      <c r="AH22" s="15"/>
      <c r="AI22" s="14">
        <f t="shared" si="14"/>
        <v>4.2561594606438033E-3</v>
      </c>
      <c r="AJ22" s="14">
        <f t="shared" si="15"/>
        <v>-2.4281814575298349E-3</v>
      </c>
      <c r="AK22" s="16"/>
    </row>
    <row r="23" spans="1:37" x14ac:dyDescent="0.25">
      <c r="A23" s="28">
        <f>($F$8-$F$7)/($D$26-$D$22)*C23+$F$7</f>
        <v>0.01</v>
      </c>
      <c r="B23">
        <f t="shared" si="1"/>
        <v>0.97775123719333634</v>
      </c>
      <c r="C23" s="12">
        <v>0.25</v>
      </c>
      <c r="D23" s="12">
        <v>2.25</v>
      </c>
      <c r="E23" s="27">
        <f>E26</f>
        <v>2.2316531212516543E-2</v>
      </c>
      <c r="F23" s="12">
        <f>F26</f>
        <v>100.5</v>
      </c>
      <c r="G23" s="13">
        <f>EXP(-$E$18*1-$E$22*1-E23*C23)</f>
        <v>0.96674838565050447</v>
      </c>
      <c r="H23" s="12">
        <v>0.25</v>
      </c>
      <c r="I23" s="12"/>
      <c r="J23" s="12"/>
      <c r="K23" s="12"/>
      <c r="L23" s="12"/>
      <c r="M23" s="12"/>
      <c r="N23" s="12"/>
      <c r="O23" s="12"/>
      <c r="P23" s="12"/>
      <c r="Q23" s="12"/>
      <c r="R23" s="15"/>
      <c r="S23" s="14">
        <f t="shared" si="6"/>
        <v>2.3749140681876587E-3</v>
      </c>
      <c r="T23" s="14">
        <f t="shared" si="7"/>
        <v>-3.1641697868510172E-3</v>
      </c>
      <c r="U23" s="16"/>
      <c r="V23" s="15"/>
      <c r="W23" s="14">
        <f t="shared" si="8"/>
        <v>2.8357182903733244E-3</v>
      </c>
      <c r="X23" s="14">
        <f t="shared" si="9"/>
        <v>-3.1641697868510172E-3</v>
      </c>
      <c r="Y23" s="16"/>
      <c r="Z23" s="17"/>
      <c r="AA23" s="14">
        <f t="shared" si="10"/>
        <v>3.250914710055485E-3</v>
      </c>
      <c r="AB23" s="14">
        <f t="shared" si="11"/>
        <v>-3.1641697868510172E-3</v>
      </c>
      <c r="AC23" s="16"/>
      <c r="AD23" s="15"/>
      <c r="AE23" s="14">
        <f t="shared" si="12"/>
        <v>3.8168768188424941E-3</v>
      </c>
      <c r="AF23" s="14">
        <f t="shared" si="13"/>
        <v>-3.1641697868510172E-3</v>
      </c>
      <c r="AG23" s="16"/>
      <c r="AH23" s="15"/>
      <c r="AI23" s="14">
        <f t="shared" si="14"/>
        <v>4.2219119146508178E-3</v>
      </c>
      <c r="AJ23" s="14">
        <f t="shared" si="15"/>
        <v>-3.1641697868510172E-3</v>
      </c>
      <c r="AK23" s="16"/>
    </row>
    <row r="24" spans="1:37" x14ac:dyDescent="0.25">
      <c r="A24" s="28">
        <f t="shared" ref="A24:A26" si="17">($F$8-$F$7)/($D$26-$D$22)*C24+$F$7</f>
        <v>0.01</v>
      </c>
      <c r="B24">
        <f t="shared" si="1"/>
        <v>0.97530991202833262</v>
      </c>
      <c r="C24" s="12">
        <v>0.5</v>
      </c>
      <c r="D24" s="12">
        <v>2.5</v>
      </c>
      <c r="E24" s="25">
        <f>E26</f>
        <v>2.2316531212516543E-2</v>
      </c>
      <c r="F24" s="12">
        <f>F26</f>
        <v>100.5</v>
      </c>
      <c r="G24" s="13">
        <f>EXP(-$E$18*1-$E$22*1-E24*C24)</f>
        <v>0.96136978593231881</v>
      </c>
      <c r="H24" s="12">
        <v>0.25</v>
      </c>
      <c r="I24" s="12"/>
      <c r="J24" s="12"/>
      <c r="K24" s="12"/>
      <c r="L24" s="12"/>
      <c r="M24" s="12"/>
      <c r="N24" s="12"/>
      <c r="O24" s="12"/>
      <c r="P24" s="12"/>
      <c r="Q24" s="12"/>
      <c r="R24" s="15"/>
      <c r="S24" s="14">
        <f t="shared" si="6"/>
        <v>2.3558041218776711E-3</v>
      </c>
      <c r="T24" s="14">
        <f t="shared" si="7"/>
        <v>-3.1387090278482493E-3</v>
      </c>
      <c r="U24" s="16"/>
      <c r="V24" s="15"/>
      <c r="W24" s="14">
        <f t="shared" si="8"/>
        <v>2.8129004440330405E-3</v>
      </c>
      <c r="X24" s="14">
        <f t="shared" si="9"/>
        <v>-3.1387090278482493E-3</v>
      </c>
      <c r="Y24" s="16"/>
      <c r="Z24" s="17"/>
      <c r="AA24" s="14">
        <f t="shared" si="10"/>
        <v>3.2247559507135449E-3</v>
      </c>
      <c r="AB24" s="14">
        <f t="shared" si="11"/>
        <v>-3.1387090278482493E-3</v>
      </c>
      <c r="AC24" s="16"/>
      <c r="AD24" s="15"/>
      <c r="AE24" s="14">
        <f t="shared" si="12"/>
        <v>3.7861639976684721E-3</v>
      </c>
      <c r="AF24" s="14">
        <f t="shared" si="13"/>
        <v>-3.1387090278482493E-3</v>
      </c>
      <c r="AG24" s="16"/>
      <c r="AH24" s="15"/>
      <c r="AI24" s="14">
        <f t="shared" si="14"/>
        <v>4.1879399444245246E-3</v>
      </c>
      <c r="AJ24" s="14">
        <f t="shared" si="15"/>
        <v>-3.1387090278482493E-3</v>
      </c>
      <c r="AK24" s="16"/>
    </row>
    <row r="25" spans="1:37" x14ac:dyDescent="0.25">
      <c r="A25" s="28">
        <f t="shared" si="17"/>
        <v>0.01</v>
      </c>
      <c r="B25">
        <f t="shared" si="1"/>
        <v>0.972874682553454</v>
      </c>
      <c r="C25" s="12">
        <v>0.75</v>
      </c>
      <c r="D25" s="12">
        <v>2.75</v>
      </c>
      <c r="E25" s="25">
        <f>E26</f>
        <v>2.2316531212516543E-2</v>
      </c>
      <c r="F25" s="12">
        <f>F26</f>
        <v>100.5</v>
      </c>
      <c r="G25" s="13">
        <f>EXP(-$E$18*1-$E$22*1-E25*C25)</f>
        <v>0.9560211105826224</v>
      </c>
      <c r="H25" s="12">
        <v>0.25</v>
      </c>
      <c r="I25" s="12"/>
      <c r="J25" s="12"/>
      <c r="K25" s="12"/>
      <c r="L25" s="12"/>
      <c r="M25" s="12"/>
      <c r="N25" s="12"/>
      <c r="O25" s="12"/>
      <c r="P25" s="12"/>
      <c r="Q25" s="12"/>
      <c r="R25" s="15"/>
      <c r="S25" s="14">
        <f t="shared" si="6"/>
        <v>2.336847945362079E-3</v>
      </c>
      <c r="T25" s="14">
        <f t="shared" si="7"/>
        <v>-3.1134531409897307E-3</v>
      </c>
      <c r="U25" s="16"/>
      <c r="V25" s="15"/>
      <c r="W25" s="14">
        <f t="shared" si="8"/>
        <v>2.7902662034174079E-3</v>
      </c>
      <c r="X25" s="14">
        <f t="shared" si="9"/>
        <v>-3.1134531409897307E-3</v>
      </c>
      <c r="Y25" s="16"/>
      <c r="Z25" s="17"/>
      <c r="AA25" s="14">
        <f t="shared" si="10"/>
        <v>3.1988076800344403E-3</v>
      </c>
      <c r="AB25" s="14">
        <f t="shared" si="11"/>
        <v>-3.1134531409897307E-3</v>
      </c>
      <c r="AC25" s="16"/>
      <c r="AD25" s="15"/>
      <c r="AE25" s="14">
        <f t="shared" si="12"/>
        <v>3.7556983097998308E-3</v>
      </c>
      <c r="AF25" s="14">
        <f t="shared" si="13"/>
        <v>-3.1134531409897307E-3</v>
      </c>
      <c r="AG25" s="16"/>
      <c r="AH25" s="15"/>
      <c r="AI25" s="14">
        <f t="shared" si="14"/>
        <v>4.1542413325212843E-3</v>
      </c>
      <c r="AJ25" s="14">
        <f t="shared" si="15"/>
        <v>-3.1134531409897307E-3</v>
      </c>
      <c r="AK25" s="16"/>
    </row>
    <row r="26" spans="1:37" ht="15.75" thickBot="1" x14ac:dyDescent="0.3">
      <c r="A26" s="28">
        <f t="shared" si="17"/>
        <v>0.01</v>
      </c>
      <c r="B26">
        <f t="shared" si="1"/>
        <v>0.97044553354850815</v>
      </c>
      <c r="C26" s="12">
        <v>1</v>
      </c>
      <c r="D26" s="12">
        <v>3</v>
      </c>
      <c r="E26" s="26">
        <v>2.2316531212516543E-2</v>
      </c>
      <c r="F26" s="12">
        <f>C8</f>
        <v>100.5</v>
      </c>
      <c r="G26" s="13">
        <f>EXP(-$E$18*1-$E$22*1-E26*C26)</f>
        <v>0.95070219311424808</v>
      </c>
      <c r="H26" s="12">
        <v>0.25</v>
      </c>
      <c r="I26" s="12"/>
      <c r="J26" s="12"/>
      <c r="K26" s="12"/>
      <c r="L26" s="12"/>
      <c r="M26" s="12"/>
      <c r="N26" s="12"/>
      <c r="O26" s="12"/>
      <c r="P26" s="12"/>
      <c r="Q26" s="12"/>
      <c r="R26" s="15"/>
      <c r="S26" s="14">
        <f t="shared" si="6"/>
        <v>2.3180443013192643E-3</v>
      </c>
      <c r="T26" s="14">
        <f t="shared" si="7"/>
        <v>-3.088400477754476E-3</v>
      </c>
      <c r="U26" s="19">
        <f>SUM(R15:T26)</f>
        <v>0</v>
      </c>
      <c r="V26" s="15"/>
      <c r="W26" s="14">
        <f t="shared" si="8"/>
        <v>2.7678140911274801E-3</v>
      </c>
      <c r="X26" s="14">
        <f t="shared" si="9"/>
        <v>-3.088400477754476E-3</v>
      </c>
      <c r="Y26" s="16"/>
      <c r="Z26" s="17"/>
      <c r="AA26" s="14">
        <f t="shared" si="10"/>
        <v>3.1730682043033952E-3</v>
      </c>
      <c r="AB26" s="14">
        <f t="shared" si="11"/>
        <v>-3.088400477754476E-3</v>
      </c>
      <c r="AC26" s="16"/>
      <c r="AD26" s="15"/>
      <c r="AE26" s="14">
        <f t="shared" si="12"/>
        <v>3.7254777666575882E-3</v>
      </c>
      <c r="AF26" s="14">
        <f t="shared" si="13"/>
        <v>-3.088400477754476E-3</v>
      </c>
      <c r="AG26" s="16"/>
      <c r="AH26" s="15"/>
      <c r="AI26" s="14">
        <f t="shared" si="14"/>
        <v>4.120813879340296E-3</v>
      </c>
      <c r="AJ26" s="14">
        <f t="shared" si="15"/>
        <v>-3.088400477754476E-3</v>
      </c>
      <c r="AK26" s="16"/>
    </row>
    <row r="27" spans="1:37" x14ac:dyDescent="0.25">
      <c r="A27" s="28">
        <f>($F$9-$F$8)/($D$30-$D$26)*C27+$F$8</f>
        <v>0.01</v>
      </c>
      <c r="B27">
        <f t="shared" si="1"/>
        <v>0.96802244983130603</v>
      </c>
      <c r="C27" s="12">
        <v>0.25</v>
      </c>
      <c r="D27" s="12">
        <v>3.25</v>
      </c>
      <c r="E27" s="27">
        <f>E30</f>
        <v>3.0416134708632008E-2</v>
      </c>
      <c r="F27" s="12">
        <f>F30</f>
        <v>120</v>
      </c>
      <c r="G27" s="13">
        <f>EXP(-$E$18*1-$E$22*1-$E$26*1-E27*C27)</f>
        <v>0.94350043751812585</v>
      </c>
      <c r="H27" s="12">
        <v>0.25</v>
      </c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5"/>
      <c r="W27" s="14">
        <f t="shared" si="8"/>
        <v>2.7399888148296162E-3</v>
      </c>
      <c r="X27" s="14">
        <f t="shared" si="9"/>
        <v>-4.1669934446001275E-3</v>
      </c>
      <c r="Y27" s="16"/>
      <c r="Z27" s="17"/>
      <c r="AA27" s="14">
        <f t="shared" si="10"/>
        <v>3.1411688438009191E-3</v>
      </c>
      <c r="AB27" s="14">
        <f t="shared" si="11"/>
        <v>-4.1669934446001275E-3</v>
      </c>
      <c r="AC27" s="16"/>
      <c r="AD27" s="15"/>
      <c r="AE27" s="14">
        <f t="shared" si="12"/>
        <v>3.6880249447606627E-3</v>
      </c>
      <c r="AF27" s="14">
        <f t="shared" si="13"/>
        <v>-4.1669934446001275E-3</v>
      </c>
      <c r="AG27" s="16"/>
      <c r="AH27" s="15"/>
      <c r="AI27" s="14">
        <f t="shared" si="14"/>
        <v>4.0793866804788269E-3</v>
      </c>
      <c r="AJ27" s="14">
        <f t="shared" si="15"/>
        <v>-4.1669934446001275E-3</v>
      </c>
      <c r="AK27" s="16"/>
    </row>
    <row r="28" spans="1:37" x14ac:dyDescent="0.25">
      <c r="A28" s="28">
        <f t="shared" ref="A28:A30" si="18">($F$9-$F$8)/($D$30-$D$26)*C28+$F$8</f>
        <v>0.01</v>
      </c>
      <c r="B28">
        <f t="shared" si="1"/>
        <v>0.96560541625756646</v>
      </c>
      <c r="C28" s="12">
        <v>0.5</v>
      </c>
      <c r="D28" s="12">
        <v>3.5</v>
      </c>
      <c r="E28" s="25">
        <f>E30</f>
        <v>3.0416134708632008E-2</v>
      </c>
      <c r="F28" s="12">
        <f>F30</f>
        <v>120</v>
      </c>
      <c r="G28" s="13">
        <f>EXP(-$E$18*1-$E$22*1-$E$26*1-E28*C28)</f>
        <v>0.93635323663329173</v>
      </c>
      <c r="H28" s="12">
        <v>0.25</v>
      </c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5"/>
      <c r="W28" s="14">
        <f t="shared" si="8"/>
        <v>2.712443270470228E-3</v>
      </c>
      <c r="X28" s="14">
        <f t="shared" si="9"/>
        <v>-4.1251019952072412E-3</v>
      </c>
      <c r="Y28" s="16"/>
      <c r="Z28" s="17"/>
      <c r="AA28" s="14">
        <f t="shared" si="10"/>
        <v>3.1095901726549105E-3</v>
      </c>
      <c r="AB28" s="14">
        <f t="shared" si="11"/>
        <v>-4.1251019952072412E-3</v>
      </c>
      <c r="AC28" s="16"/>
      <c r="AD28" s="15"/>
      <c r="AE28" s="14">
        <f t="shared" si="12"/>
        <v>3.6509486420529267E-3</v>
      </c>
      <c r="AF28" s="14">
        <f t="shared" si="13"/>
        <v>-4.1251019952072412E-3</v>
      </c>
      <c r="AG28" s="16"/>
      <c r="AH28" s="15"/>
      <c r="AI28" s="14">
        <f t="shared" si="14"/>
        <v>4.0383759558517574E-3</v>
      </c>
      <c r="AJ28" s="14">
        <f t="shared" si="15"/>
        <v>-4.1251019952072412E-3</v>
      </c>
      <c r="AK28" s="16"/>
    </row>
    <row r="29" spans="1:37" x14ac:dyDescent="0.25">
      <c r="A29" s="28">
        <f t="shared" si="18"/>
        <v>0.01</v>
      </c>
      <c r="B29">
        <f t="shared" si="1"/>
        <v>0.96319441772082182</v>
      </c>
      <c r="C29" s="12">
        <v>0.75</v>
      </c>
      <c r="D29" s="12">
        <v>3.75</v>
      </c>
      <c r="E29" s="25">
        <f>E30</f>
        <v>3.0416134708632008E-2</v>
      </c>
      <c r="F29" s="12">
        <f>F30</f>
        <v>120</v>
      </c>
      <c r="G29" s="13">
        <f>EXP(-$E$18*1-$E$22*1-$E$26*1-E29*C29)</f>
        <v>0.92926017719710652</v>
      </c>
      <c r="H29" s="12">
        <v>0.25</v>
      </c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5"/>
      <c r="W29" s="14">
        <f t="shared" si="8"/>
        <v>2.6851746458595445E-3</v>
      </c>
      <c r="X29" s="14">
        <f t="shared" si="9"/>
        <v>-4.0836316872333569E-3</v>
      </c>
      <c r="Y29" s="16"/>
      <c r="Z29" s="17"/>
      <c r="AA29" s="14">
        <f t="shared" si="10"/>
        <v>3.0783289669241458E-3</v>
      </c>
      <c r="AB29" s="14">
        <f t="shared" si="11"/>
        <v>-4.0836316872333569E-3</v>
      </c>
      <c r="AC29" s="16"/>
      <c r="AD29" s="15"/>
      <c r="AE29" s="14">
        <f t="shared" si="12"/>
        <v>3.6142450733269464E-3</v>
      </c>
      <c r="AF29" s="14">
        <f t="shared" si="13"/>
        <v>-4.0836316872333569E-3</v>
      </c>
      <c r="AG29" s="16"/>
      <c r="AH29" s="15"/>
      <c r="AI29" s="14">
        <f t="shared" si="14"/>
        <v>3.9977775185772186E-3</v>
      </c>
      <c r="AJ29" s="14">
        <f t="shared" si="15"/>
        <v>-4.0836316872333569E-3</v>
      </c>
      <c r="AK29" s="16"/>
    </row>
    <row r="30" spans="1:37" ht="15.75" thickBot="1" x14ac:dyDescent="0.3">
      <c r="A30" s="28">
        <f t="shared" si="18"/>
        <v>0.01</v>
      </c>
      <c r="B30">
        <f t="shared" si="1"/>
        <v>0.96078943915232318</v>
      </c>
      <c r="C30" s="12">
        <v>1</v>
      </c>
      <c r="D30" s="12">
        <v>4</v>
      </c>
      <c r="E30" s="26">
        <v>3.0416134708632008E-2</v>
      </c>
      <c r="F30" s="12">
        <f>C9</f>
        <v>120</v>
      </c>
      <c r="G30" s="13">
        <f>EXP(-$E$18*1-$E$22*1-$E$26*1-E30*C30)</f>
        <v>0.92222084907747681</v>
      </c>
      <c r="H30" s="12">
        <v>0.25</v>
      </c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5"/>
      <c r="W30" s="14">
        <f t="shared" si="8"/>
        <v>2.6581801570791847E-3</v>
      </c>
      <c r="X30" s="14">
        <f t="shared" si="9"/>
        <v>-4.0425782868766533E-3</v>
      </c>
      <c r="Y30" s="19">
        <f>SUM(V15:X30)</f>
        <v>0</v>
      </c>
      <c r="Z30" s="17"/>
      <c r="AA30" s="14">
        <f t="shared" si="10"/>
        <v>3.0473820350781951E-3</v>
      </c>
      <c r="AB30" s="14">
        <f t="shared" si="11"/>
        <v>-4.0425782868766533E-3</v>
      </c>
      <c r="AC30" s="16"/>
      <c r="AD30" s="15"/>
      <c r="AE30" s="14">
        <f t="shared" si="12"/>
        <v>3.5779104914285824E-3</v>
      </c>
      <c r="AF30" s="14">
        <f t="shared" si="13"/>
        <v>-4.0425782868766533E-3</v>
      </c>
      <c r="AG30" s="16"/>
      <c r="AH30" s="15"/>
      <c r="AI30" s="14">
        <f t="shared" si="14"/>
        <v>3.9575872238647256E-3</v>
      </c>
      <c r="AJ30" s="14">
        <f t="shared" si="15"/>
        <v>-4.0425782868766533E-3</v>
      </c>
      <c r="AK30" s="16"/>
    </row>
    <row r="31" spans="1:37" x14ac:dyDescent="0.25">
      <c r="A31" s="28">
        <f>($F$10-$F$9)/($D$34-$D$30)*C31+$F$9</f>
        <v>0.01</v>
      </c>
      <c r="B31">
        <f t="shared" si="1"/>
        <v>0.95839046552094698</v>
      </c>
      <c r="C31" s="12">
        <v>0.25</v>
      </c>
      <c r="D31" s="12">
        <v>4.25</v>
      </c>
      <c r="E31" s="25">
        <f>E34</f>
        <v>3.5792654062851516E-2</v>
      </c>
      <c r="F31" s="12">
        <f>F34</f>
        <v>137.57</v>
      </c>
      <c r="G31" s="13">
        <f>EXP(-$E$18*1-$E$22*1-$E$26*1-$E$30*1-E31*C31)</f>
        <v>0.91400547718459457</v>
      </c>
      <c r="H31" s="12">
        <v>0.25</v>
      </c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7"/>
      <c r="AA31" s="14">
        <f t="shared" si="10"/>
        <v>3.0126940429996019E-3</v>
      </c>
      <c r="AB31" s="14">
        <f t="shared" si="11"/>
        <v>-4.7030158760615649E-3</v>
      </c>
      <c r="AC31" s="16"/>
      <c r="AD31" s="15"/>
      <c r="AE31" s="14">
        <f t="shared" si="12"/>
        <v>3.5371835561917257E-3</v>
      </c>
      <c r="AF31" s="14">
        <f t="shared" si="13"/>
        <v>-4.7030158760615649E-3</v>
      </c>
      <c r="AG31" s="16"/>
      <c r="AH31" s="15"/>
      <c r="AI31" s="14">
        <f t="shared" si="14"/>
        <v>3.9125384729396589E-3</v>
      </c>
      <c r="AJ31" s="14">
        <f t="shared" si="15"/>
        <v>-4.7030158760615649E-3</v>
      </c>
      <c r="AK31" s="16"/>
    </row>
    <row r="32" spans="1:37" x14ac:dyDescent="0.25">
      <c r="A32" s="28">
        <f t="shared" ref="A32:A34" si="19">($F$10-$F$9)/($D$34-$D$30)*C32+$F$9</f>
        <v>0.01</v>
      </c>
      <c r="B32">
        <f t="shared" si="1"/>
        <v>0.95599748183309996</v>
      </c>
      <c r="C32" s="12">
        <v>0.5</v>
      </c>
      <c r="D32" s="12">
        <v>4.5</v>
      </c>
      <c r="E32" s="25">
        <f>E34</f>
        <v>3.5792654062851516E-2</v>
      </c>
      <c r="F32" s="12">
        <f>F34</f>
        <v>137.57</v>
      </c>
      <c r="G32" s="13">
        <f>EXP(-$E$18*1-$E$22*1-$E$26*1-$E$30*1-E32*C32)</f>
        <v>0.9058632898606862</v>
      </c>
      <c r="H32" s="12">
        <v>0.25</v>
      </c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7"/>
      <c r="AA32" s="14">
        <f t="shared" si="10"/>
        <v>2.978400900264017E-3</v>
      </c>
      <c r="AB32" s="14">
        <f t="shared" si="11"/>
        <v>-4.6494819982686097E-3</v>
      </c>
      <c r="AC32" s="16"/>
      <c r="AD32" s="15"/>
      <c r="AE32" s="14">
        <f t="shared" si="12"/>
        <v>3.4969202108791446E-3</v>
      </c>
      <c r="AF32" s="14">
        <f t="shared" si="13"/>
        <v>-4.6494819982686097E-3</v>
      </c>
      <c r="AG32" s="16"/>
      <c r="AH32" s="15"/>
      <c r="AI32" s="14">
        <f t="shared" si="14"/>
        <v>3.868002506659658E-3</v>
      </c>
      <c r="AJ32" s="14">
        <f t="shared" si="15"/>
        <v>-4.6494819982686097E-3</v>
      </c>
      <c r="AK32" s="16"/>
    </row>
    <row r="33" spans="1:37" x14ac:dyDescent="0.25">
      <c r="A33" s="28">
        <f t="shared" si="19"/>
        <v>0.01</v>
      </c>
      <c r="B33">
        <f t="shared" si="1"/>
        <v>0.95361047313262637</v>
      </c>
      <c r="C33" s="12">
        <v>0.75</v>
      </c>
      <c r="D33" s="12">
        <v>4.75</v>
      </c>
      <c r="E33" s="25">
        <f>E34</f>
        <v>3.5792654062851516E-2</v>
      </c>
      <c r="F33" s="12">
        <f>F34</f>
        <v>137.57</v>
      </c>
      <c r="G33" s="13">
        <f>EXP(-$E$18*1-$E$22*1-$E$26*1-$E$30*1-E33*C33)</f>
        <v>0.89779363515947264</v>
      </c>
      <c r="H33" s="12">
        <v>0.25</v>
      </c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7"/>
      <c r="AA33" s="14">
        <f t="shared" si="10"/>
        <v>2.9444981123477052E-3</v>
      </c>
      <c r="AB33" s="14">
        <f t="shared" si="11"/>
        <v>-4.5965574903240845E-3</v>
      </c>
      <c r="AC33" s="16"/>
      <c r="AD33" s="15"/>
      <c r="AE33" s="14">
        <f t="shared" si="12"/>
        <v>3.4571151785011364E-3</v>
      </c>
      <c r="AF33" s="14">
        <f t="shared" si="13"/>
        <v>-4.5965574903240845E-3</v>
      </c>
      <c r="AG33" s="16"/>
      <c r="AH33" s="15"/>
      <c r="AI33" s="14">
        <f t="shared" si="14"/>
        <v>3.8239734880572873E-3</v>
      </c>
      <c r="AJ33" s="14">
        <f t="shared" si="15"/>
        <v>-4.5965574903240845E-3</v>
      </c>
      <c r="AK33" s="16"/>
    </row>
    <row r="34" spans="1:37" ht="15.75" thickBot="1" x14ac:dyDescent="0.3">
      <c r="A34" s="28">
        <f t="shared" si="19"/>
        <v>0.01</v>
      </c>
      <c r="B34">
        <f t="shared" si="1"/>
        <v>0.95122942450071402</v>
      </c>
      <c r="C34" s="12">
        <v>1</v>
      </c>
      <c r="D34" s="12">
        <v>5</v>
      </c>
      <c r="E34" s="26">
        <v>3.5792654062851516E-2</v>
      </c>
      <c r="F34" s="12">
        <f>C10</f>
        <v>137.57</v>
      </c>
      <c r="G34" s="13">
        <f>EXP(-$E$18*1-$E$22*1-$E$26*1-$E$30*1-E34*C34)</f>
        <v>0.88979586694237389</v>
      </c>
      <c r="H34" s="12">
        <v>0.25</v>
      </c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7"/>
      <c r="AA34" s="14">
        <f t="shared" si="10"/>
        <v>2.9109812358875703E-3</v>
      </c>
      <c r="AB34" s="14">
        <f t="shared" si="11"/>
        <v>-4.5442354158425138E-3</v>
      </c>
      <c r="AC34" s="19">
        <f>SUM(Z15:AB34)</f>
        <v>0</v>
      </c>
      <c r="AD34" s="15"/>
      <c r="AE34" s="14">
        <f t="shared" si="12"/>
        <v>3.417763242135352E-3</v>
      </c>
      <c r="AF34" s="14">
        <f t="shared" si="13"/>
        <v>-4.5442354158425138E-3</v>
      </c>
      <c r="AG34" s="16"/>
      <c r="AH34" s="15"/>
      <c r="AI34" s="14">
        <f t="shared" si="14"/>
        <v>3.7804456466066245E-3</v>
      </c>
      <c r="AJ34" s="14">
        <f t="shared" si="15"/>
        <v>-4.5442354158425138E-3</v>
      </c>
      <c r="AK34" s="16"/>
    </row>
    <row r="35" spans="1:37" x14ac:dyDescent="0.25">
      <c r="A35" s="28">
        <f>($F$11-$F$10)/($D$42-$D$34)*C35+$F$10</f>
        <v>0.01</v>
      </c>
      <c r="B35">
        <f t="shared" si="1"/>
        <v>0.94885432105580125</v>
      </c>
      <c r="C35" s="12">
        <v>0.25</v>
      </c>
      <c r="D35" s="12">
        <v>5.25</v>
      </c>
      <c r="E35" s="25">
        <f>E42</f>
        <v>3.8480361456094549E-2</v>
      </c>
      <c r="F35" s="12">
        <f>F42</f>
        <v>161.52000000000001</v>
      </c>
      <c r="G35" s="13">
        <f t="shared" ref="G35:G42" si="20">EXP(-$E$18*1-$E$22*1-$E$26*1-$E$30*$C$30-$E$34*$C$34-E35*C35)</f>
        <v>0.88127699216839528</v>
      </c>
      <c r="H35" s="12">
        <v>0.25</v>
      </c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5"/>
      <c r="AE35" s="14">
        <f t="shared" si="12"/>
        <v>3.3765896605826751E-3</v>
      </c>
      <c r="AF35" s="14">
        <f t="shared" si="13"/>
        <v>-4.8266118361119216E-3</v>
      </c>
      <c r="AG35" s="16"/>
      <c r="AH35" s="15"/>
      <c r="AI35" s="14">
        <f t="shared" si="14"/>
        <v>3.7349028526479735E-3</v>
      </c>
      <c r="AJ35" s="14">
        <f t="shared" si="15"/>
        <v>-4.8266118361119216E-3</v>
      </c>
      <c r="AK35" s="16"/>
    </row>
    <row r="36" spans="1:37" x14ac:dyDescent="0.25">
      <c r="A36" s="28">
        <f t="shared" ref="A36:A42" si="21">($F$11-$F$10)/($D$42-$D$34)*C36+$F$10</f>
        <v>0.01</v>
      </c>
      <c r="B36">
        <f t="shared" si="1"/>
        <v>0.94648514795348382</v>
      </c>
      <c r="C36" s="12">
        <v>0.5</v>
      </c>
      <c r="D36" s="12">
        <v>5.5</v>
      </c>
      <c r="E36" s="25">
        <f>E42</f>
        <v>3.8480361456094549E-2</v>
      </c>
      <c r="F36" s="12">
        <f>F42</f>
        <v>161.52000000000001</v>
      </c>
      <c r="G36" s="13">
        <f t="shared" si="20"/>
        <v>0.87283967680608743</v>
      </c>
      <c r="H36" s="12">
        <v>0.25</v>
      </c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5"/>
      <c r="AE36" s="14">
        <f t="shared" si="12"/>
        <v>3.3359120946102991E-3</v>
      </c>
      <c r="AF36" s="14">
        <f t="shared" si="13"/>
        <v>-4.7684659430297831E-3</v>
      </c>
      <c r="AG36" s="16"/>
      <c r="AH36" s="15"/>
      <c r="AI36" s="14">
        <f t="shared" si="14"/>
        <v>3.6899087099001734E-3</v>
      </c>
      <c r="AJ36" s="14">
        <f t="shared" si="15"/>
        <v>-4.7684659430297831E-3</v>
      </c>
      <c r="AK36" s="16"/>
    </row>
    <row r="37" spans="1:37" x14ac:dyDescent="0.25">
      <c r="A37" s="28">
        <f t="shared" si="21"/>
        <v>0.01</v>
      </c>
      <c r="B37">
        <f t="shared" si="1"/>
        <v>0.94412189038642214</v>
      </c>
      <c r="C37" s="12">
        <v>0.75</v>
      </c>
      <c r="D37" s="12">
        <v>5.75</v>
      </c>
      <c r="E37" s="25">
        <f>E42</f>
        <v>3.8480361456094549E-2</v>
      </c>
      <c r="F37" s="12">
        <f>F42</f>
        <v>161.52000000000001</v>
      </c>
      <c r="G37" s="13">
        <f t="shared" si="20"/>
        <v>0.86448314000847104</v>
      </c>
      <c r="H37" s="12">
        <v>0.25</v>
      </c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5"/>
      <c r="AE37" s="14">
        <f t="shared" si="12"/>
        <v>3.2957245687493266E-3</v>
      </c>
      <c r="AF37" s="14">
        <f t="shared" si="13"/>
        <v>-4.7110205299110471E-3</v>
      </c>
      <c r="AG37" s="16"/>
      <c r="AH37" s="15"/>
      <c r="AI37" s="14">
        <f t="shared" si="14"/>
        <v>3.6454566087961533E-3</v>
      </c>
      <c r="AJ37" s="14">
        <f t="shared" si="15"/>
        <v>-4.7110205299110471E-3</v>
      </c>
      <c r="AK37" s="16"/>
    </row>
    <row r="38" spans="1:37" x14ac:dyDescent="0.25">
      <c r="A38" s="28">
        <f t="shared" si="21"/>
        <v>0.01</v>
      </c>
      <c r="B38">
        <f t="shared" si="1"/>
        <v>0.94176453358424872</v>
      </c>
      <c r="C38" s="12">
        <v>1</v>
      </c>
      <c r="D38" s="12">
        <v>6</v>
      </c>
      <c r="E38" s="25">
        <f>E42</f>
        <v>3.8480361456094549E-2</v>
      </c>
      <c r="F38" s="12">
        <f>F42</f>
        <v>161.52000000000001</v>
      </c>
      <c r="G38" s="13">
        <f t="shared" si="20"/>
        <v>0.85620660840436902</v>
      </c>
      <c r="H38" s="12">
        <v>0.25</v>
      </c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5"/>
      <c r="AE38" s="14">
        <f t="shared" si="12"/>
        <v>3.2560211795169647E-3</v>
      </c>
      <c r="AF38" s="14">
        <f t="shared" si="13"/>
        <v>-4.6542671581170916E-3</v>
      </c>
      <c r="AG38" s="16"/>
      <c r="AH38" s="15"/>
      <c r="AI38" s="14">
        <f t="shared" si="14"/>
        <v>3.6015400193938887E-3</v>
      </c>
      <c r="AJ38" s="14">
        <f t="shared" si="15"/>
        <v>-4.6542671581170916E-3</v>
      </c>
      <c r="AK38" s="16"/>
    </row>
    <row r="39" spans="1:37" x14ac:dyDescent="0.25">
      <c r="A39" s="28">
        <f t="shared" si="21"/>
        <v>0.01</v>
      </c>
      <c r="B39">
        <f t="shared" si="1"/>
        <v>0.93941306281347581</v>
      </c>
      <c r="C39" s="12">
        <v>1.25</v>
      </c>
      <c r="D39" s="12">
        <v>6.25</v>
      </c>
      <c r="E39" s="25">
        <f>E42</f>
        <v>3.8480361456094549E-2</v>
      </c>
      <c r="F39" s="12">
        <f>F42</f>
        <v>161.52000000000001</v>
      </c>
      <c r="G39" s="13">
        <f t="shared" si="20"/>
        <v>0.84800931602683305</v>
      </c>
      <c r="H39" s="12">
        <v>0.25</v>
      </c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5"/>
      <c r="AE39" s="14">
        <f t="shared" si="12"/>
        <v>3.2167960945493107E-3</v>
      </c>
      <c r="AF39" s="14">
        <f t="shared" si="13"/>
        <v>-4.598197490669048E-3</v>
      </c>
      <c r="AG39" s="16"/>
      <c r="AH39" s="15"/>
      <c r="AI39" s="14">
        <f t="shared" si="14"/>
        <v>3.5581524904171611E-3</v>
      </c>
      <c r="AJ39" s="14">
        <f t="shared" si="15"/>
        <v>-4.598197490669048E-3</v>
      </c>
      <c r="AK39" s="16"/>
    </row>
    <row r="40" spans="1:37" x14ac:dyDescent="0.25">
      <c r="A40" s="28">
        <f t="shared" si="21"/>
        <v>0.01</v>
      </c>
      <c r="B40">
        <f t="shared" si="1"/>
        <v>0.93706746337740343</v>
      </c>
      <c r="C40" s="12">
        <v>1.5</v>
      </c>
      <c r="D40" s="12">
        <v>6.5</v>
      </c>
      <c r="E40" s="25">
        <f>E42</f>
        <v>3.8480361456094549E-2</v>
      </c>
      <c r="F40" s="12">
        <f>F42</f>
        <v>161.52000000000001</v>
      </c>
      <c r="G40" s="13">
        <f t="shared" si="20"/>
        <v>0.83989050424225598</v>
      </c>
      <c r="H40" s="12">
        <v>0.25</v>
      </c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5"/>
      <c r="AE40" s="14">
        <f t="shared" si="12"/>
        <v>3.1780435517445886E-3</v>
      </c>
      <c r="AF40" s="14">
        <f t="shared" si="13"/>
        <v>-4.542803291023116E-3</v>
      </c>
      <c r="AG40" s="16"/>
      <c r="AH40" s="15"/>
      <c r="AI40" s="14">
        <f t="shared" si="14"/>
        <v>3.5152876483078763E-3</v>
      </c>
      <c r="AJ40" s="14">
        <f t="shared" si="15"/>
        <v>-4.542803291023116E-3</v>
      </c>
      <c r="AK40" s="16"/>
    </row>
    <row r="41" spans="1:37" x14ac:dyDescent="0.25">
      <c r="A41" s="28">
        <f t="shared" si="21"/>
        <v>0.01</v>
      </c>
      <c r="B41">
        <f t="shared" si="1"/>
        <v>0.93472772061602749</v>
      </c>
      <c r="C41" s="12">
        <v>1.75</v>
      </c>
      <c r="D41" s="12">
        <v>6.75</v>
      </c>
      <c r="E41" s="25">
        <f>E42</f>
        <v>3.8480361456094549E-2</v>
      </c>
      <c r="F41" s="12">
        <f>F42</f>
        <v>161.52000000000001</v>
      </c>
      <c r="G41" s="13">
        <f t="shared" si="20"/>
        <v>0.83184942168016218</v>
      </c>
      <c r="H41" s="12">
        <v>0.25</v>
      </c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5"/>
      <c r="AE41" s="14">
        <f t="shared" si="12"/>
        <v>3.1397578584167036E-3</v>
      </c>
      <c r="AF41" s="14">
        <f t="shared" si="13"/>
        <v>-4.4880764218606269E-3</v>
      </c>
      <c r="AG41" s="16"/>
      <c r="AH41" s="15"/>
      <c r="AI41" s="14">
        <f t="shared" si="14"/>
        <v>3.4729391962897982E-3</v>
      </c>
      <c r="AJ41" s="14">
        <f t="shared" si="15"/>
        <v>-4.4880764218606269E-3</v>
      </c>
      <c r="AK41" s="16"/>
    </row>
    <row r="42" spans="1:37" ht="15.75" thickBot="1" x14ac:dyDescent="0.3">
      <c r="A42" s="28">
        <f t="shared" si="21"/>
        <v>0.01</v>
      </c>
      <c r="B42">
        <f t="shared" si="1"/>
        <v>0.93239381990594827</v>
      </c>
      <c r="C42" s="12">
        <v>2</v>
      </c>
      <c r="D42" s="12">
        <v>7</v>
      </c>
      <c r="E42" s="26">
        <v>3.8480361456094549E-2</v>
      </c>
      <c r="F42" s="12">
        <f>C11</f>
        <v>161.52000000000001</v>
      </c>
      <c r="G42" s="13">
        <f t="shared" si="20"/>
        <v>0.82388532416367111</v>
      </c>
      <c r="H42" s="12">
        <v>0.25</v>
      </c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5"/>
      <c r="AE42" s="14">
        <f t="shared" si="12"/>
        <v>3.101933390458997E-3</v>
      </c>
      <c r="AF42" s="14">
        <f t="shared" si="13"/>
        <v>-4.4340088438926837E-3</v>
      </c>
      <c r="AG42" s="19">
        <f>SUM(AD15:AF42)</f>
        <v>0</v>
      </c>
      <c r="AH42" s="15"/>
      <c r="AI42" s="14">
        <f t="shared" si="14"/>
        <v>3.4311009134435633E-3</v>
      </c>
      <c r="AJ42" s="14">
        <f t="shared" si="15"/>
        <v>-4.4340088438926837E-3</v>
      </c>
      <c r="AK42" s="16"/>
    </row>
    <row r="43" spans="1:37" x14ac:dyDescent="0.25">
      <c r="A43" s="28">
        <f>($F$12-$F$11)/($D$54-$D$42)*C43+$F$11</f>
        <v>0.01</v>
      </c>
      <c r="B43">
        <f t="shared" si="1"/>
        <v>0.93006574666027853</v>
      </c>
      <c r="C43" s="12">
        <v>0.25</v>
      </c>
      <c r="D43" s="12">
        <v>7.25</v>
      </c>
      <c r="E43" s="25">
        <f>E54</f>
        <v>3.8144120300511168E-2</v>
      </c>
      <c r="F43" s="12">
        <f>F54</f>
        <v>178.66</v>
      </c>
      <c r="G43" s="13">
        <f t="shared" ref="G43:G54" si="22">EXP(-$E$18*1-$E$22*1-$E$26*1-$E$30*$C$30-$E$34*$C$34-$E$42*$C$42-E43*C43)</f>
        <v>0.8160660705071362</v>
      </c>
      <c r="H43" s="12">
        <v>0.25</v>
      </c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5"/>
      <c r="AI43" s="14">
        <f t="shared" si="14"/>
        <v>3.3900516105336499E-3</v>
      </c>
      <c r="AJ43" s="14">
        <f t="shared" si="15"/>
        <v>-4.3426800556522057E-3</v>
      </c>
      <c r="AK43" s="16"/>
    </row>
    <row r="44" spans="1:37" x14ac:dyDescent="0.25">
      <c r="A44" s="28">
        <f t="shared" ref="A44:A54" si="23">($F$12-$F$11)/($D$54-$D$42)*C44+$F$11</f>
        <v>0.01</v>
      </c>
      <c r="B44">
        <f t="shared" si="1"/>
        <v>0.92774348632855286</v>
      </c>
      <c r="C44" s="12">
        <v>0.5</v>
      </c>
      <c r="D44" s="12">
        <v>7.5</v>
      </c>
      <c r="E44" s="25">
        <f>E54</f>
        <v>3.8144120300511168E-2</v>
      </c>
      <c r="F44" s="12">
        <f>F54</f>
        <v>178.66</v>
      </c>
      <c r="G44" s="13">
        <f t="shared" si="22"/>
        <v>0.80832102709073073</v>
      </c>
      <c r="H44" s="12">
        <v>0.25</v>
      </c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5"/>
      <c r="AI44" s="14">
        <f t="shared" si="14"/>
        <v>3.3494934168367546E-3</v>
      </c>
      <c r="AJ44" s="14">
        <f t="shared" si="15"/>
        <v>-4.290724723080422E-3</v>
      </c>
      <c r="AK44" s="16"/>
    </row>
    <row r="45" spans="1:37" x14ac:dyDescent="0.25">
      <c r="A45" s="28">
        <f t="shared" si="23"/>
        <v>0.01</v>
      </c>
      <c r="B45">
        <f t="shared" si="1"/>
        <v>0.92542702439663682</v>
      </c>
      <c r="C45" s="12">
        <v>0.75</v>
      </c>
      <c r="D45" s="12">
        <v>7.75</v>
      </c>
      <c r="E45" s="25">
        <f>E54</f>
        <v>3.8144120300511168E-2</v>
      </c>
      <c r="F45" s="12">
        <f>F54</f>
        <v>178.66</v>
      </c>
      <c r="G45" s="13">
        <f t="shared" si="22"/>
        <v>0.80064948960685922</v>
      </c>
      <c r="H45" s="12">
        <v>0.25</v>
      </c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5"/>
      <c r="AI45" s="14">
        <f t="shared" si="14"/>
        <v>3.3094204567778508E-3</v>
      </c>
      <c r="AJ45" s="14">
        <f t="shared" si="15"/>
        <v>-4.2393909782259135E-3</v>
      </c>
      <c r="AK45" s="16"/>
    </row>
    <row r="46" spans="1:37" x14ac:dyDescent="0.25">
      <c r="A46" s="28">
        <f t="shared" si="23"/>
        <v>0.01</v>
      </c>
      <c r="B46">
        <f t="shared" si="1"/>
        <v>0.92311634638663576</v>
      </c>
      <c r="C46" s="12">
        <v>1</v>
      </c>
      <c r="D46" s="12">
        <v>8</v>
      </c>
      <c r="E46" s="25">
        <f>E54</f>
        <v>3.8144120300511168E-2</v>
      </c>
      <c r="F46" s="12">
        <f>F54</f>
        <v>178.66</v>
      </c>
      <c r="G46" s="13">
        <f t="shared" si="22"/>
        <v>0.79305076043230305</v>
      </c>
      <c r="H46" s="12">
        <v>0.25</v>
      </c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5"/>
      <c r="AI46" s="14">
        <f t="shared" si="14"/>
        <v>3.2698269250766229E-3</v>
      </c>
      <c r="AJ46" s="14">
        <f t="shared" si="15"/>
        <v>-4.1886713844835966E-3</v>
      </c>
      <c r="AK46" s="16"/>
    </row>
    <row r="47" spans="1:37" x14ac:dyDescent="0.25">
      <c r="A47" s="28">
        <f t="shared" si="23"/>
        <v>0.01</v>
      </c>
      <c r="B47">
        <f t="shared" si="1"/>
        <v>0.92081143785680453</v>
      </c>
      <c r="C47" s="12">
        <v>1.25</v>
      </c>
      <c r="D47" s="12">
        <v>8.25</v>
      </c>
      <c r="E47" s="25">
        <f>E54</f>
        <v>3.8144120300511168E-2</v>
      </c>
      <c r="F47" s="12">
        <f>F54</f>
        <v>178.66</v>
      </c>
      <c r="G47" s="13">
        <f t="shared" si="22"/>
        <v>0.78552414856478037</v>
      </c>
      <c r="H47" s="12">
        <v>0.25</v>
      </c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5"/>
      <c r="AI47" s="14">
        <f t="shared" si="14"/>
        <v>3.2307070859064744E-3</v>
      </c>
      <c r="AJ47" s="14">
        <f t="shared" si="15"/>
        <v>-4.1385585942190894E-3</v>
      </c>
      <c r="AK47" s="16"/>
    </row>
    <row r="48" spans="1:37" x14ac:dyDescent="0.25">
      <c r="A48" s="28">
        <f t="shared" si="23"/>
        <v>0.01</v>
      </c>
      <c r="B48">
        <f t="shared" si="1"/>
        <v>0.91851228440145738</v>
      </c>
      <c r="C48" s="12">
        <v>1.5</v>
      </c>
      <c r="D48" s="12">
        <v>8.5</v>
      </c>
      <c r="E48" s="25">
        <f>E54</f>
        <v>3.8144120300511168E-2</v>
      </c>
      <c r="F48" s="12">
        <f>F54</f>
        <v>178.66</v>
      </c>
      <c r="G48" s="13">
        <f t="shared" si="22"/>
        <v>0.77806896956010929</v>
      </c>
      <c r="H48" s="12">
        <v>0.25</v>
      </c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5"/>
      <c r="AI48" s="14">
        <f t="shared" si="14"/>
        <v>3.1920552720635879E-3</v>
      </c>
      <c r="AJ48" s="14">
        <f t="shared" si="15"/>
        <v>-4.089045347704278E-3</v>
      </c>
      <c r="AK48" s="16"/>
    </row>
    <row r="49" spans="1:37" x14ac:dyDescent="0.25">
      <c r="A49" s="28">
        <f t="shared" si="23"/>
        <v>0.01</v>
      </c>
      <c r="B49">
        <f t="shared" si="1"/>
        <v>0.91621887165087756</v>
      </c>
      <c r="C49" s="12">
        <v>1.75</v>
      </c>
      <c r="D49" s="12">
        <v>8.75</v>
      </c>
      <c r="E49" s="25">
        <f>E54</f>
        <v>3.8144120300511168E-2</v>
      </c>
      <c r="F49" s="12">
        <f>F54</f>
        <v>178.66</v>
      </c>
      <c r="G49" s="13">
        <f t="shared" si="22"/>
        <v>0.77068454546996668</v>
      </c>
      <c r="H49" s="12">
        <v>0.25</v>
      </c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5"/>
      <c r="AI49" s="14">
        <f t="shared" si="14"/>
        <v>3.1538658841459301E-3</v>
      </c>
      <c r="AJ49" s="14">
        <f t="shared" si="15"/>
        <v>-4.0401244720656123E-3</v>
      </c>
      <c r="AK49" s="16"/>
    </row>
    <row r="50" spans="1:37" x14ac:dyDescent="0.25">
      <c r="A50" s="28">
        <f t="shared" si="23"/>
        <v>0.01</v>
      </c>
      <c r="B50">
        <f t="shared" si="1"/>
        <v>0.91393118527122819</v>
      </c>
      <c r="C50" s="12">
        <v>2</v>
      </c>
      <c r="D50" s="12">
        <v>9</v>
      </c>
      <c r="E50" s="25">
        <f>E54</f>
        <v>3.8144120300511168E-2</v>
      </c>
      <c r="F50" s="12">
        <f>F54</f>
        <v>178.66</v>
      </c>
      <c r="G50" s="13">
        <f t="shared" si="22"/>
        <v>0.76337020478023765</v>
      </c>
      <c r="H50" s="12">
        <v>0.25</v>
      </c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5"/>
      <c r="AI50" s="14">
        <f t="shared" si="14"/>
        <v>3.1161333897420816E-3</v>
      </c>
      <c r="AJ50" s="14">
        <f t="shared" si="15"/>
        <v>-3.9917888802449893E-3</v>
      </c>
      <c r="AK50" s="16"/>
    </row>
    <row r="51" spans="1:37" x14ac:dyDescent="0.25">
      <c r="A51" s="28">
        <f t="shared" si="23"/>
        <v>0.01</v>
      </c>
      <c r="B51">
        <f t="shared" si="1"/>
        <v>0.91164921096446172</v>
      </c>
      <c r="C51" s="12">
        <v>2.25</v>
      </c>
      <c r="D51" s="12">
        <v>9.25</v>
      </c>
      <c r="E51" s="25">
        <f>E54</f>
        <v>3.8144120300511168E-2</v>
      </c>
      <c r="F51" s="12">
        <f>F54</f>
        <v>178.66</v>
      </c>
      <c r="G51" s="13">
        <f t="shared" si="22"/>
        <v>0.75612528234995069</v>
      </c>
      <c r="H51" s="12">
        <v>0.25</v>
      </c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5"/>
      <c r="AI51" s="14">
        <f t="shared" si="14"/>
        <v>3.0788523226297658E-3</v>
      </c>
      <c r="AJ51" s="14">
        <f t="shared" si="15"/>
        <v>-3.9440315699730668E-3</v>
      </c>
      <c r="AK51" s="16"/>
    </row>
    <row r="52" spans="1:37" x14ac:dyDescent="0.25">
      <c r="A52" s="28">
        <f t="shared" si="23"/>
        <v>0.01</v>
      </c>
      <c r="B52">
        <f t="shared" si="1"/>
        <v>0.90937293446823142</v>
      </c>
      <c r="C52" s="12">
        <v>2.5</v>
      </c>
      <c r="D52" s="12">
        <v>9.5</v>
      </c>
      <c r="E52" s="25">
        <f>E54</f>
        <v>3.8144120300511168E-2</v>
      </c>
      <c r="F52" s="12">
        <f>F54</f>
        <v>178.66</v>
      </c>
      <c r="G52" s="13">
        <f t="shared" si="22"/>
        <v>0.74894911935079178</v>
      </c>
      <c r="H52" s="12">
        <v>0.25</v>
      </c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5"/>
      <c r="AI52" s="14">
        <f t="shared" si="14"/>
        <v>3.0420172819839693E-3</v>
      </c>
      <c r="AJ52" s="14">
        <f t="shared" si="15"/>
        <v>-3.8968456227548597E-3</v>
      </c>
      <c r="AK52" s="16"/>
    </row>
    <row r="53" spans="1:37" x14ac:dyDescent="0.25">
      <c r="A53" s="28">
        <f t="shared" si="23"/>
        <v>0.01</v>
      </c>
      <c r="B53">
        <f t="shared" si="1"/>
        <v>0.90710234155580172</v>
      </c>
      <c r="C53" s="12">
        <v>2.75</v>
      </c>
      <c r="D53" s="12">
        <v>9.75</v>
      </c>
      <c r="E53" s="25">
        <f>E54</f>
        <v>3.8144120300511168E-2</v>
      </c>
      <c r="F53" s="12">
        <f>F54</f>
        <v>178.66</v>
      </c>
      <c r="G53" s="13">
        <f t="shared" si="22"/>
        <v>0.74184106320719334</v>
      </c>
      <c r="H53" s="12">
        <v>0.25</v>
      </c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5"/>
      <c r="AI53" s="14">
        <f t="shared" si="14"/>
        <v>3.0056229315945419E-3</v>
      </c>
      <c r="AJ53" s="14">
        <f t="shared" si="15"/>
        <v>-3.8502242028674769E-3</v>
      </c>
      <c r="AK53" s="16"/>
    </row>
    <row r="54" spans="1:37" ht="15.75" thickBot="1" x14ac:dyDescent="0.3">
      <c r="A54" s="28">
        <f t="shared" si="23"/>
        <v>0.01</v>
      </c>
      <c r="B54">
        <f>EXP(-A54*D54)</f>
        <v>0.90483741803595952</v>
      </c>
      <c r="C54" s="12">
        <v>3</v>
      </c>
      <c r="D54" s="12">
        <v>10</v>
      </c>
      <c r="E54" s="26">
        <v>3.8144120300511168E-2</v>
      </c>
      <c r="F54" s="12">
        <f>C12</f>
        <v>178.66</v>
      </c>
      <c r="G54" s="13">
        <f t="shared" si="22"/>
        <v>0.73480046753699024</v>
      </c>
      <c r="H54" s="12">
        <v>0.25</v>
      </c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5"/>
      <c r="AI54" s="14">
        <f t="shared" si="14"/>
        <v>2.969663999093142E-3</v>
      </c>
      <c r="AJ54" s="14">
        <f t="shared" si="15"/>
        <v>-3.8041605563698387E-3</v>
      </c>
      <c r="AK54" s="19">
        <f>SUM(AH15:AJ54)</f>
        <v>0</v>
      </c>
    </row>
    <row r="55" spans="1:37" x14ac:dyDescent="0.25">
      <c r="C55" s="12"/>
      <c r="D55" s="12"/>
      <c r="E55" s="14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</row>
    <row r="57" spans="1:37" hidden="1" x14ac:dyDescent="0.25">
      <c r="A57" s="10" t="s">
        <v>9</v>
      </c>
      <c r="B57" s="10"/>
      <c r="C57" s="2"/>
      <c r="D57" s="2"/>
      <c r="E57" s="2" t="s">
        <v>1</v>
      </c>
      <c r="F57" s="2" t="s">
        <v>7</v>
      </c>
      <c r="G57" s="2" t="s">
        <v>0</v>
      </c>
      <c r="H57" s="2" t="s">
        <v>2</v>
      </c>
      <c r="I57" s="2"/>
      <c r="J57" s="2" t="s">
        <v>4</v>
      </c>
      <c r="K57" s="2" t="s">
        <v>5</v>
      </c>
      <c r="L57" s="2" t="s">
        <v>6</v>
      </c>
      <c r="M57" s="2" t="s">
        <v>3</v>
      </c>
      <c r="N57" s="2" t="s">
        <v>4</v>
      </c>
      <c r="O57" s="2" t="s">
        <v>5</v>
      </c>
      <c r="P57" s="2" t="s">
        <v>6</v>
      </c>
      <c r="Q57" s="2" t="s">
        <v>3</v>
      </c>
      <c r="R57" s="2" t="s">
        <v>4</v>
      </c>
      <c r="S57" s="2" t="s">
        <v>5</v>
      </c>
      <c r="T57" s="2" t="s">
        <v>6</v>
      </c>
      <c r="U57" s="2" t="s">
        <v>3</v>
      </c>
      <c r="V57" s="2" t="s">
        <v>4</v>
      </c>
      <c r="W57" s="2" t="s">
        <v>5</v>
      </c>
      <c r="X57" s="2" t="s">
        <v>6</v>
      </c>
      <c r="Y57" s="2" t="s">
        <v>3</v>
      </c>
    </row>
    <row r="58" spans="1:37" hidden="1" x14ac:dyDescent="0.25">
      <c r="C58" s="2">
        <v>1</v>
      </c>
      <c r="D58" s="7">
        <v>1</v>
      </c>
      <c r="E58" s="8">
        <v>1.14E-2</v>
      </c>
      <c r="F58" s="6">
        <v>67.5</v>
      </c>
      <c r="G58" s="5">
        <f>EXP(-E58*C58)</f>
        <v>0.98866473377813191</v>
      </c>
      <c r="H58" s="2">
        <v>1</v>
      </c>
      <c r="I58" s="2"/>
      <c r="J58" s="2">
        <f>$F$58/10000*E58*G58*H58^2</f>
        <v>7.6077751264227257E-5</v>
      </c>
      <c r="K58" s="2">
        <f>F58/10000*H58*G58</f>
        <v>6.6734869530023907E-3</v>
      </c>
      <c r="L58" s="2">
        <f>-0.6*E58*G58*H58</f>
        <v>-6.7624667790424217E-3</v>
      </c>
      <c r="M58" s="3">
        <f>SUM(J58:L58)</f>
        <v>-1.2902074775804004E-5</v>
      </c>
      <c r="N58" s="2">
        <f>$F$59/10000*E58*G58*H58^2</f>
        <v>9.5238073804847445E-5</v>
      </c>
      <c r="O58" s="2">
        <f>$F$59/10000*H58*G58</f>
        <v>8.3542170004252143E-3</v>
      </c>
      <c r="P58" s="2">
        <f>-0.6*E58*G58*H58</f>
        <v>-6.7624667790424217E-3</v>
      </c>
      <c r="Q58" s="2"/>
      <c r="R58" s="2">
        <f>$F$60/10000*E58*G58*H58^2</f>
        <v>1.1327131854896059E-4</v>
      </c>
      <c r="S58" s="2">
        <f>$F$60/10000*H58*G58</f>
        <v>9.9360805744702248E-3</v>
      </c>
      <c r="T58" s="2">
        <f>-0.6*E58*G58*H58</f>
        <v>-6.7624667790424217E-3</v>
      </c>
      <c r="U58" s="2"/>
      <c r="V58" s="2">
        <f>$F$61/10000*E58*G58*H58^2</f>
        <v>1.3524933558084847E-4</v>
      </c>
      <c r="W58" s="2">
        <f>$F$61/10000*H58*G58</f>
        <v>1.1863976805337583E-2</v>
      </c>
      <c r="X58" s="2">
        <f>-0.6*E58*G58*H58</f>
        <v>-6.7624667790424217E-3</v>
      </c>
      <c r="Y58" s="2"/>
    </row>
    <row r="59" spans="1:37" hidden="1" x14ac:dyDescent="0.25">
      <c r="C59" s="2">
        <v>1</v>
      </c>
      <c r="D59" s="7">
        <v>2</v>
      </c>
      <c r="E59" s="4">
        <v>1.7299999999999999E-2</v>
      </c>
      <c r="F59" s="6">
        <v>84.5</v>
      </c>
      <c r="G59" s="5">
        <f>EXP(-E58*C58-E59*C59)</f>
        <v>0.97170793312405745</v>
      </c>
      <c r="H59" s="2">
        <v>1</v>
      </c>
      <c r="I59" s="2"/>
      <c r="J59" s="2"/>
      <c r="K59" s="2"/>
      <c r="L59" s="2"/>
      <c r="M59" s="2"/>
      <c r="N59" s="2">
        <f>$F$59/10000*E59*G59*H59^2</f>
        <v>1.4204912420374033E-4</v>
      </c>
      <c r="O59" s="2">
        <f>$F$59/10000*H59*G59</f>
        <v>8.2109320348982846E-3</v>
      </c>
      <c r="P59" s="2">
        <f>-0.6*E59*G59*H59</f>
        <v>-1.0086328345827716E-2</v>
      </c>
      <c r="Q59" s="3">
        <f>SUM(N58:P59)</f>
        <v>-4.6358891538051533E-5</v>
      </c>
      <c r="R59" s="2">
        <f>$F$60/10000*E59*G59*H59^2</f>
        <v>1.6894599979261425E-4</v>
      </c>
      <c r="S59" s="2">
        <f t="shared" ref="S59:S60" si="24">$F$60/10000*H59*G59</f>
        <v>9.7656647278967779E-3</v>
      </c>
      <c r="T59" s="2">
        <f>-0.6*E59*G59*H59</f>
        <v>-1.0086328345827716E-2</v>
      </c>
      <c r="U59" s="2"/>
      <c r="V59" s="2">
        <f>$F$61/10000*E59*G59*H59^2</f>
        <v>2.0172656691655434E-4</v>
      </c>
      <c r="W59" s="2">
        <f t="shared" ref="W59:W61" si="25">$F$61/10000*H59*G59</f>
        <v>1.166049519748869E-2</v>
      </c>
      <c r="X59" s="2">
        <f>-0.6*E59*G59*H59</f>
        <v>-1.0086328345827716E-2</v>
      </c>
      <c r="Y59" s="2"/>
    </row>
    <row r="60" spans="1:37" hidden="1" x14ac:dyDescent="0.25">
      <c r="C60" s="2">
        <v>1</v>
      </c>
      <c r="D60" s="7">
        <v>3</v>
      </c>
      <c r="E60" s="4">
        <v>2.2800000000000001E-2</v>
      </c>
      <c r="F60" s="6">
        <v>100.5</v>
      </c>
      <c r="G60" s="5">
        <f>EXP(-E58*C58-E59*C59-E60*C60)</f>
        <v>0.94980364996219957</v>
      </c>
      <c r="H60" s="2">
        <v>1</v>
      </c>
      <c r="I60" s="2"/>
      <c r="J60" s="2"/>
      <c r="K60" s="2"/>
      <c r="L60" s="2"/>
      <c r="M60" s="2"/>
      <c r="N60" s="2"/>
      <c r="O60" s="2"/>
      <c r="P60" s="2"/>
      <c r="Q60" s="2"/>
      <c r="R60" s="2">
        <f>$F$60/10000*E60*G60*H60^2</f>
        <v>2.1763800835233844E-4</v>
      </c>
      <c r="S60" s="2">
        <f t="shared" si="24"/>
        <v>9.5455266821201055E-3</v>
      </c>
      <c r="T60" s="2">
        <f>-0.6*E60*G60*H60</f>
        <v>-1.299331393148289E-2</v>
      </c>
      <c r="U60" s="3">
        <f>SUM(R58:T60)</f>
        <v>-9.4981745172004889E-5</v>
      </c>
      <c r="V60" s="2">
        <f>$F$61/10000*E60*G60*H60^2</f>
        <v>2.5986627862965785E-4</v>
      </c>
      <c r="W60" s="2">
        <f t="shared" si="25"/>
        <v>1.1397643799546395E-2</v>
      </c>
      <c r="X60" s="2">
        <f>-0.6*E60*G60*H60</f>
        <v>-1.299331393148289E-2</v>
      </c>
      <c r="Y60" s="2"/>
    </row>
    <row r="61" spans="1:37" ht="15.75" hidden="1" thickBot="1" x14ac:dyDescent="0.3">
      <c r="C61" s="2">
        <v>1</v>
      </c>
      <c r="D61" s="7">
        <v>4</v>
      </c>
      <c r="E61" s="9">
        <v>3.1300000000000001E-2</v>
      </c>
      <c r="F61" s="6">
        <v>120</v>
      </c>
      <c r="G61" s="5">
        <f>EXP(-E58*C58-E59*C59-E60*C60-E61*C61)</f>
        <v>0.92053523585781882</v>
      </c>
      <c r="H61" s="2">
        <v>1</v>
      </c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>
        <f>$F$61/10000*E61*G61*H61^2</f>
        <v>3.4575303458819675E-4</v>
      </c>
      <c r="W61" s="2">
        <f t="shared" si="25"/>
        <v>1.1046422830293827E-2</v>
      </c>
      <c r="X61" s="2">
        <f>-0.6*E61*G61*H61</f>
        <v>-1.7287651729409839E-2</v>
      </c>
      <c r="Y61" s="3">
        <f>SUM(V58:X61)</f>
        <v>-2.1862693738111325E-4</v>
      </c>
    </row>
    <row r="62" spans="1:37" hidden="1" x14ac:dyDescent="0.25"/>
    <row r="63" spans="1:37" x14ac:dyDescent="0.25">
      <c r="E63" s="1"/>
      <c r="H63" s="1"/>
    </row>
    <row r="64" spans="1:37" x14ac:dyDescent="0.25">
      <c r="E64" s="1"/>
      <c r="H64" s="1"/>
    </row>
    <row r="65" spans="5:8" x14ac:dyDescent="0.25">
      <c r="E65" s="1"/>
      <c r="H65" s="1"/>
    </row>
    <row r="66" spans="5:8" x14ac:dyDescent="0.25">
      <c r="E66" s="1"/>
      <c r="H66" s="1"/>
    </row>
    <row r="67" spans="5:8" x14ac:dyDescent="0.25">
      <c r="E67" s="1"/>
      <c r="H67" s="1"/>
    </row>
    <row r="68" spans="5:8" x14ac:dyDescent="0.25">
      <c r="E68" s="1"/>
    </row>
    <row r="69" spans="5:8" x14ac:dyDescent="0.25">
      <c r="E69" s="1"/>
    </row>
  </sheetData>
  <mergeCells count="7">
    <mergeCell ref="AH13:AK13"/>
    <mergeCell ref="J13:M13"/>
    <mergeCell ref="N13:Q13"/>
    <mergeCell ref="R13:U13"/>
    <mergeCell ref="V13:Y13"/>
    <mergeCell ref="Z13:AC13"/>
    <mergeCell ref="AD13:AG13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librate">
                <anchor moveWithCells="1" sizeWithCells="1">
                  <from>
                    <xdr:col>11</xdr:col>
                    <xdr:colOff>28575</xdr:colOff>
                    <xdr:row>2</xdr:row>
                    <xdr:rowOff>180975</xdr:rowOff>
                  </from>
                  <to>
                    <xdr:col>13</xdr:col>
                    <xdr:colOff>542925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01"/>
  <sheetViews>
    <sheetView workbookViewId="0"/>
  </sheetViews>
  <sheetFormatPr defaultRowHeight="15" x14ac:dyDescent="0.25"/>
  <cols>
    <col min="1" max="1" width="8.5703125" bestFit="1" customWidth="1"/>
    <col min="2" max="2" width="14.42578125" customWidth="1"/>
    <col min="3" max="3" width="14.5703125" customWidth="1"/>
    <col min="4" max="4" width="18.42578125" bestFit="1" customWidth="1"/>
    <col min="8" max="8" width="18.140625" customWidth="1"/>
    <col min="9" max="9" width="20.28515625" customWidth="1"/>
    <col min="10" max="10" width="12.140625" customWidth="1"/>
  </cols>
  <sheetData>
    <row r="1" spans="1:10" x14ac:dyDescent="0.25">
      <c r="B1" t="s">
        <v>52</v>
      </c>
    </row>
    <row r="3" spans="1:10" x14ac:dyDescent="0.25">
      <c r="A3" s="33" t="s">
        <v>20</v>
      </c>
      <c r="B3" s="33" t="s">
        <v>39</v>
      </c>
      <c r="C3" s="33" t="s">
        <v>40</v>
      </c>
      <c r="D3" s="34" t="s">
        <v>41</v>
      </c>
      <c r="G3" s="33" t="s">
        <v>20</v>
      </c>
      <c r="H3" s="33" t="s">
        <v>39</v>
      </c>
      <c r="I3" s="33" t="s">
        <v>40</v>
      </c>
      <c r="J3" s="34" t="s">
        <v>41</v>
      </c>
    </row>
    <row r="4" spans="1:10" x14ac:dyDescent="0.25">
      <c r="A4" s="35" t="s">
        <v>22</v>
      </c>
      <c r="B4" s="35">
        <v>1.1235999999999999E-2</v>
      </c>
      <c r="C4" s="35">
        <v>1.125000000006708E-2</v>
      </c>
      <c r="D4" s="37">
        <f>B4/C4-1</f>
        <v>-1.2444444503997287E-3</v>
      </c>
      <c r="G4" s="35" t="s">
        <v>22</v>
      </c>
      <c r="H4" s="35">
        <v>1.12345E-2</v>
      </c>
      <c r="I4" s="35">
        <v>1.125000000006708E-2</v>
      </c>
      <c r="J4" s="37">
        <f>H4/I4-1</f>
        <v>-1.3777777837322702E-3</v>
      </c>
    </row>
    <row r="5" spans="1:10" x14ac:dyDescent="0.25">
      <c r="A5" s="35" t="s">
        <v>23</v>
      </c>
      <c r="B5" s="35">
        <v>1.70125E-2</v>
      </c>
      <c r="C5" s="35">
        <v>1.6987886651491455E-2</v>
      </c>
      <c r="D5" s="37">
        <f t="shared" ref="D5:D10" si="0">B5/C5-1</f>
        <v>1.4488764266851195E-3</v>
      </c>
      <c r="G5" s="35" t="s">
        <v>23</v>
      </c>
      <c r="H5" s="35">
        <v>1.70002E-2</v>
      </c>
      <c r="I5" s="35">
        <v>1.6987886651491455E-2</v>
      </c>
      <c r="J5" s="37">
        <f t="shared" ref="J5:J10" si="1">H5/I5-1</f>
        <v>7.2483109648380228E-4</v>
      </c>
    </row>
    <row r="6" spans="1:10" x14ac:dyDescent="0.25">
      <c r="A6" s="35" t="s">
        <v>24</v>
      </c>
      <c r="B6" s="35">
        <v>2.2329700000000001E-2</v>
      </c>
      <c r="C6" s="35">
        <v>2.2316531511798635E-2</v>
      </c>
      <c r="D6" s="37">
        <f t="shared" si="0"/>
        <v>5.9007772755381716E-4</v>
      </c>
      <c r="G6" s="35" t="s">
        <v>24</v>
      </c>
      <c r="H6" s="35">
        <v>2.23012E-2</v>
      </c>
      <c r="I6" s="35">
        <v>2.2316531511798635E-2</v>
      </c>
      <c r="J6" s="37">
        <f t="shared" si="1"/>
        <v>-6.8700244885855355E-4</v>
      </c>
    </row>
    <row r="7" spans="1:10" x14ac:dyDescent="0.25">
      <c r="A7" s="35" t="s">
        <v>25</v>
      </c>
      <c r="B7" s="35">
        <v>3.0419499999999999E-2</v>
      </c>
      <c r="C7" s="35">
        <v>3.0416133242403658E-2</v>
      </c>
      <c r="D7" s="37">
        <f t="shared" si="0"/>
        <v>1.1068986216988819E-4</v>
      </c>
      <c r="G7" s="35" t="s">
        <v>25</v>
      </c>
      <c r="H7" s="35">
        <v>3.03596E-2</v>
      </c>
      <c r="I7" s="35">
        <v>3.0416133242403658E-2</v>
      </c>
      <c r="J7" s="37">
        <f t="shared" si="1"/>
        <v>-1.8586597432721508E-3</v>
      </c>
    </row>
    <row r="8" spans="1:10" x14ac:dyDescent="0.25">
      <c r="A8" s="35" t="s">
        <v>26</v>
      </c>
      <c r="B8" s="35">
        <v>3.5778200000000003E-2</v>
      </c>
      <c r="C8" s="35">
        <v>3.5792654054168406E-2</v>
      </c>
      <c r="D8" s="37">
        <f t="shared" si="0"/>
        <v>-4.0382739280886426E-4</v>
      </c>
      <c r="G8" s="35" t="s">
        <v>26</v>
      </c>
      <c r="H8" s="35">
        <v>3.5687400000000001E-2</v>
      </c>
      <c r="I8" s="35">
        <v>3.5792654054168406E-2</v>
      </c>
      <c r="J8" s="37">
        <f t="shared" si="1"/>
        <v>-2.9406607850067656E-3</v>
      </c>
    </row>
    <row r="9" spans="1:10" x14ac:dyDescent="0.25">
      <c r="A9" s="35" t="s">
        <v>27</v>
      </c>
      <c r="B9" s="35">
        <v>3.8433500000000002E-2</v>
      </c>
      <c r="C9" s="35">
        <v>3.8480361450891586E-2</v>
      </c>
      <c r="D9" s="37">
        <f t="shared" si="0"/>
        <v>-1.2178017337853841E-3</v>
      </c>
      <c r="G9" s="35" t="s">
        <v>27</v>
      </c>
      <c r="H9" s="35">
        <v>3.8318199999999997E-2</v>
      </c>
      <c r="I9" s="35">
        <v>3.8480361450891586E-2</v>
      </c>
      <c r="J9" s="37">
        <f t="shared" si="1"/>
        <v>-4.214135334943192E-3</v>
      </c>
    </row>
    <row r="10" spans="1:10" x14ac:dyDescent="0.25">
      <c r="A10" s="35" t="s">
        <v>28</v>
      </c>
      <c r="B10" s="35">
        <v>3.8101500000000003E-2</v>
      </c>
      <c r="C10" s="35">
        <v>3.8144120297555456E-2</v>
      </c>
      <c r="D10" s="37">
        <f t="shared" si="0"/>
        <v>-1.1173490756367643E-3</v>
      </c>
      <c r="G10" s="35" t="s">
        <v>28</v>
      </c>
      <c r="H10" s="35">
        <v>3.7976500000000003E-2</v>
      </c>
      <c r="I10" s="35">
        <v>3.8144120297555456E-2</v>
      </c>
      <c r="J10" s="37">
        <f t="shared" si="1"/>
        <v>-4.39439410970488E-3</v>
      </c>
    </row>
    <row r="11" spans="1:10" x14ac:dyDescent="0.25">
      <c r="A11" s="39"/>
      <c r="B11" s="40"/>
      <c r="C11" s="40"/>
      <c r="D11" s="41"/>
    </row>
    <row r="12" spans="1:10" x14ac:dyDescent="0.25">
      <c r="A12" s="38"/>
      <c r="B12" t="s">
        <v>43</v>
      </c>
      <c r="D12" s="1"/>
    </row>
    <row r="13" spans="1:10" x14ac:dyDescent="0.25">
      <c r="A13" s="33" t="s">
        <v>20</v>
      </c>
      <c r="B13" s="33" t="s">
        <v>39</v>
      </c>
      <c r="C13" s="33" t="s">
        <v>40</v>
      </c>
      <c r="D13" s="34" t="s">
        <v>41</v>
      </c>
      <c r="G13" s="33" t="s">
        <v>20</v>
      </c>
      <c r="H13" s="33" t="s">
        <v>54</v>
      </c>
      <c r="I13" s="33" t="s">
        <v>53</v>
      </c>
      <c r="J13" s="34" t="s">
        <v>41</v>
      </c>
    </row>
    <row r="14" spans="1:10" x14ac:dyDescent="0.25">
      <c r="A14" s="35" t="s">
        <v>22</v>
      </c>
      <c r="B14" s="35">
        <v>1.3483200000000001E-2</v>
      </c>
      <c r="C14" s="36">
        <v>1.3499999183013039E-2</v>
      </c>
      <c r="D14" s="37">
        <f>B14/C14-1</f>
        <v>-1.2443840021988395E-3</v>
      </c>
      <c r="G14" s="35" t="s">
        <v>22</v>
      </c>
      <c r="H14" s="35">
        <v>1.12345E-2</v>
      </c>
      <c r="I14" s="35">
        <v>1.12654E-2</v>
      </c>
      <c r="J14" s="45">
        <f>H14/I14-1</f>
        <v>-2.7429119250093059E-3</v>
      </c>
    </row>
    <row r="15" spans="1:10" x14ac:dyDescent="0.25">
      <c r="A15" s="35" t="s">
        <v>23</v>
      </c>
      <c r="B15" s="35">
        <v>2.0424999999999999E-2</v>
      </c>
      <c r="C15" s="36">
        <v>2.0395830764112388E-2</v>
      </c>
      <c r="D15" s="37">
        <f t="shared" ref="D15:D20" si="2">B15/C15-1</f>
        <v>1.4301567915995239E-3</v>
      </c>
      <c r="G15" s="35" t="s">
        <v>23</v>
      </c>
      <c r="H15" s="35">
        <v>1.70002E-2</v>
      </c>
      <c r="I15" s="35">
        <v>1.70685E-2</v>
      </c>
      <c r="J15" s="45">
        <f t="shared" ref="J15:J20" si="3">H15/I15-1</f>
        <v>-4.001523273867047E-3</v>
      </c>
    </row>
    <row r="16" spans="1:10" x14ac:dyDescent="0.25">
      <c r="A16" s="35" t="s">
        <v>24</v>
      </c>
      <c r="B16" s="35">
        <v>2.6832000000000002E-2</v>
      </c>
      <c r="C16" s="36">
        <v>2.6817288869297934E-2</v>
      </c>
      <c r="D16" s="37">
        <f t="shared" si="2"/>
        <v>5.4856890171728345E-4</v>
      </c>
      <c r="G16" s="35" t="s">
        <v>24</v>
      </c>
      <c r="H16" s="35">
        <v>2.23012E-2</v>
      </c>
      <c r="I16" s="35">
        <v>2.24151E-2</v>
      </c>
      <c r="J16" s="45">
        <f t="shared" si="3"/>
        <v>-5.0813960232164446E-3</v>
      </c>
    </row>
    <row r="17" spans="1:10" x14ac:dyDescent="0.25">
      <c r="A17" s="35" t="s">
        <v>25</v>
      </c>
      <c r="B17" s="35">
        <v>3.6616799999999998E-2</v>
      </c>
      <c r="C17" s="36">
        <v>3.6616623431666002E-2</v>
      </c>
      <c r="D17" s="37">
        <f t="shared" si="2"/>
        <v>4.8220812693955395E-6</v>
      </c>
      <c r="G17" s="35" t="s">
        <v>25</v>
      </c>
      <c r="H17" s="35">
        <v>3.03596E-2</v>
      </c>
      <c r="I17" s="35">
        <v>3.0557899999999999E-2</v>
      </c>
      <c r="J17" s="45">
        <f t="shared" si="3"/>
        <v>-6.4893202739716438E-3</v>
      </c>
    </row>
    <row r="18" spans="1:10" x14ac:dyDescent="0.25">
      <c r="A18" s="35" t="s">
        <v>26</v>
      </c>
      <c r="B18" s="35">
        <v>4.3146299999999999E-2</v>
      </c>
      <c r="C18" s="36">
        <v>4.3169660117750433E-2</v>
      </c>
      <c r="D18" s="37">
        <f t="shared" si="2"/>
        <v>-5.4112350402379938E-4</v>
      </c>
      <c r="G18" s="35" t="s">
        <v>26</v>
      </c>
      <c r="H18" s="35">
        <v>3.5687400000000001E-2</v>
      </c>
      <c r="I18" s="35">
        <v>3.5962399999999999E-2</v>
      </c>
      <c r="J18" s="45">
        <f t="shared" si="3"/>
        <v>-7.6468756256533599E-3</v>
      </c>
    </row>
    <row r="19" spans="1:10" x14ac:dyDescent="0.25">
      <c r="A19" s="35" t="s">
        <v>27</v>
      </c>
      <c r="B19" s="35">
        <v>4.6438699999999999E-2</v>
      </c>
      <c r="C19" s="36">
        <v>4.6501221800037122E-2</v>
      </c>
      <c r="D19" s="37">
        <f t="shared" si="2"/>
        <v>-1.3445195118952924E-3</v>
      </c>
      <c r="G19" s="35" t="s">
        <v>27</v>
      </c>
      <c r="H19" s="35">
        <v>3.8318199999999997E-2</v>
      </c>
      <c r="I19" s="35">
        <v>3.8653100000000003E-2</v>
      </c>
      <c r="J19" s="45">
        <f t="shared" si="3"/>
        <v>-8.6642468521284099E-3</v>
      </c>
    </row>
    <row r="20" spans="1:10" x14ac:dyDescent="0.25">
      <c r="A20" s="35" t="s">
        <v>28</v>
      </c>
      <c r="B20" s="35">
        <v>4.6097899999999997E-2</v>
      </c>
      <c r="C20" s="36">
        <v>4.6152593542546291E-2</v>
      </c>
      <c r="D20" s="37">
        <f t="shared" si="2"/>
        <v>-1.1850589175638193E-3</v>
      </c>
      <c r="G20" s="35" t="s">
        <v>28</v>
      </c>
      <c r="H20" s="35">
        <v>3.7976500000000003E-2</v>
      </c>
      <c r="I20" s="35">
        <v>3.8329299999999997E-2</v>
      </c>
      <c r="J20" s="45">
        <f t="shared" si="3"/>
        <v>-9.2044467287425435E-3</v>
      </c>
    </row>
    <row r="21" spans="1:10" x14ac:dyDescent="0.25">
      <c r="B21" t="s">
        <v>42</v>
      </c>
    </row>
    <row r="22" spans="1:10" x14ac:dyDescent="0.25">
      <c r="A22" s="33" t="s">
        <v>20</v>
      </c>
      <c r="B22" s="33" t="s">
        <v>39</v>
      </c>
      <c r="C22" s="33" t="s">
        <v>40</v>
      </c>
      <c r="D22" s="34" t="s">
        <v>41</v>
      </c>
    </row>
    <row r="23" spans="1:10" x14ac:dyDescent="0.25">
      <c r="A23" s="35" t="s">
        <v>22</v>
      </c>
      <c r="B23" s="35">
        <v>9.6309099999999995E-3</v>
      </c>
      <c r="C23" s="36">
        <v>9.6428571093814686E-3</v>
      </c>
      <c r="D23" s="37">
        <f>B23/C23-1</f>
        <v>-1.2389594957127326E-3</v>
      </c>
    </row>
    <row r="24" spans="1:10" x14ac:dyDescent="0.25">
      <c r="A24" s="35" t="s">
        <v>23</v>
      </c>
      <c r="B24" s="35">
        <v>1.4577E-2</v>
      </c>
      <c r="C24" s="36">
        <v>1.4555771247539897E-2</v>
      </c>
      <c r="D24" s="37">
        <f t="shared" ref="D24:D29" si="4">B24/C24-1</f>
        <v>1.4584422974970312E-3</v>
      </c>
    </row>
    <row r="25" spans="1:10" x14ac:dyDescent="0.25">
      <c r="A25" s="35" t="s">
        <v>24</v>
      </c>
      <c r="B25" s="35">
        <v>1.9121300000000001E-2</v>
      </c>
      <c r="C25" s="36">
        <v>1.9109472367859048E-2</v>
      </c>
      <c r="D25" s="37">
        <f t="shared" si="4"/>
        <v>6.1894080136126739E-4</v>
      </c>
    </row>
    <row r="26" spans="1:10" x14ac:dyDescent="0.25">
      <c r="A26" s="35" t="s">
        <v>25</v>
      </c>
      <c r="B26" s="35">
        <v>2.60167E-2</v>
      </c>
      <c r="C26" s="36">
        <v>2.6011855627099824E-2</v>
      </c>
      <c r="D26" s="37">
        <f t="shared" si="4"/>
        <v>1.8623711316956282E-4</v>
      </c>
    </row>
    <row r="27" spans="1:10" x14ac:dyDescent="0.25">
      <c r="A27" s="35" t="s">
        <v>26</v>
      </c>
      <c r="B27" s="35">
        <v>3.0560500000000001E-2</v>
      </c>
      <c r="C27" s="36">
        <v>3.0570020051200304E-2</v>
      </c>
      <c r="D27" s="37">
        <f t="shared" si="4"/>
        <v>-3.1141789192024039E-4</v>
      </c>
    </row>
    <row r="28" spans="1:10" x14ac:dyDescent="0.25">
      <c r="A28" s="35" t="s">
        <v>27</v>
      </c>
      <c r="B28" s="35">
        <v>3.2785099999999998E-2</v>
      </c>
      <c r="C28" s="36">
        <v>3.2822268398232747E-2</v>
      </c>
      <c r="D28" s="37">
        <f t="shared" si="4"/>
        <v>-1.1324140605331046E-3</v>
      </c>
    </row>
    <row r="29" spans="1:10" x14ac:dyDescent="0.25">
      <c r="A29" s="35" t="s">
        <v>28</v>
      </c>
      <c r="B29" s="35">
        <v>3.2474900000000001E-2</v>
      </c>
      <c r="C29" s="36">
        <v>3.2509877873298253E-2</v>
      </c>
      <c r="D29" s="37">
        <f t="shared" si="4"/>
        <v>-1.0759152475001699E-3</v>
      </c>
    </row>
    <row r="30" spans="1:10" x14ac:dyDescent="0.25">
      <c r="B30" t="s">
        <v>44</v>
      </c>
    </row>
    <row r="31" spans="1:10" x14ac:dyDescent="0.25">
      <c r="A31" s="33" t="s">
        <v>20</v>
      </c>
      <c r="B31" s="33" t="s">
        <v>39</v>
      </c>
      <c r="C31" s="33" t="s">
        <v>40</v>
      </c>
      <c r="D31" s="34" t="s">
        <v>41</v>
      </c>
    </row>
    <row r="32" spans="1:10" x14ac:dyDescent="0.25">
      <c r="A32" s="35" t="s">
        <v>22</v>
      </c>
      <c r="B32" s="35">
        <v>1.9558900000000001E-2</v>
      </c>
      <c r="C32" s="36">
        <v>1.9583333108920787E-2</v>
      </c>
      <c r="D32" s="37">
        <f>B32/C32-1</f>
        <v>-1.2476481294012576E-3</v>
      </c>
    </row>
    <row r="33" spans="1:4" x14ac:dyDescent="0.25">
      <c r="A33" s="35" t="s">
        <v>23</v>
      </c>
      <c r="B33" s="35">
        <v>2.5360000000000001E-2</v>
      </c>
      <c r="C33" s="36">
        <v>2.5345558282775169E-2</v>
      </c>
      <c r="D33" s="37">
        <f t="shared" ref="D33:D38" si="5">B33/C33-1</f>
        <v>5.6979282380398288E-4</v>
      </c>
    </row>
    <row r="34" spans="1:4" x14ac:dyDescent="0.25">
      <c r="A34" s="35" t="s">
        <v>24</v>
      </c>
      <c r="B34" s="35">
        <v>3.0723899999999998E-2</v>
      </c>
      <c r="C34" s="36">
        <v>3.0720536009033853E-2</v>
      </c>
      <c r="D34" s="37">
        <f t="shared" si="5"/>
        <v>1.0950300363110621E-4</v>
      </c>
    </row>
    <row r="35" spans="1:4" x14ac:dyDescent="0.25">
      <c r="A35" s="35" t="s">
        <v>25</v>
      </c>
      <c r="B35" s="35">
        <v>3.8921900000000002E-2</v>
      </c>
      <c r="C35" s="36">
        <v>3.8928192669654978E-2</v>
      </c>
      <c r="D35" s="37">
        <f t="shared" si="5"/>
        <v>-1.6164813271390965E-4</v>
      </c>
    </row>
    <row r="36" spans="1:4" x14ac:dyDescent="0.25">
      <c r="A36" s="35" t="s">
        <v>26</v>
      </c>
      <c r="B36" s="35">
        <v>4.4381999999999998E-2</v>
      </c>
      <c r="C36" s="36">
        <v>4.4406416201462774E-2</v>
      </c>
      <c r="D36" s="37">
        <f t="shared" si="5"/>
        <v>-5.4983499123195667E-4</v>
      </c>
    </row>
    <row r="37" spans="1:4" x14ac:dyDescent="0.25">
      <c r="A37" s="35" t="s">
        <v>27</v>
      </c>
      <c r="B37" s="35">
        <v>4.7113500000000003E-2</v>
      </c>
      <c r="C37" s="36">
        <v>4.717162283572477E-2</v>
      </c>
      <c r="D37" s="37">
        <f t="shared" si="5"/>
        <v>-1.2321567974707959E-3</v>
      </c>
    </row>
    <row r="38" spans="1:4" x14ac:dyDescent="0.25">
      <c r="A38" s="35" t="s">
        <v>28</v>
      </c>
      <c r="B38" s="35">
        <v>4.6803200000000003E-2</v>
      </c>
      <c r="C38" s="36">
        <v>4.6856700324292962E-2</v>
      </c>
      <c r="D38" s="37">
        <f t="shared" si="5"/>
        <v>-1.1417859969371502E-3</v>
      </c>
    </row>
    <row r="39" spans="1:4" x14ac:dyDescent="0.25">
      <c r="B39" t="s">
        <v>45</v>
      </c>
    </row>
    <row r="40" spans="1:4" x14ac:dyDescent="0.25">
      <c r="A40" s="33" t="s">
        <v>20</v>
      </c>
      <c r="B40" s="33" t="s">
        <v>39</v>
      </c>
      <c r="C40" s="33" t="s">
        <v>40</v>
      </c>
      <c r="D40" s="34" t="s">
        <v>41</v>
      </c>
    </row>
    <row r="41" spans="1:4" x14ac:dyDescent="0.25">
      <c r="A41" s="35" t="s">
        <v>22</v>
      </c>
      <c r="B41" s="35">
        <v>2.9130699999999998E-3</v>
      </c>
      <c r="C41" s="36">
        <v>2.9166666670281446E-3</v>
      </c>
      <c r="D41" s="37">
        <f>B41/C41-1</f>
        <v>-1.2331429809253613E-3</v>
      </c>
    </row>
    <row r="42" spans="1:4" x14ac:dyDescent="0.25">
      <c r="A42" s="35" t="s">
        <v>23</v>
      </c>
      <c r="B42" s="35">
        <v>8.6651300000000001E-3</v>
      </c>
      <c r="C42" s="36">
        <v>8.6304156325269013E-3</v>
      </c>
      <c r="D42" s="37">
        <f t="shared" ref="D42:D47" si="6">B42/C42-1</f>
        <v>4.0223285819822596E-3</v>
      </c>
    </row>
    <row r="43" spans="1:4" x14ac:dyDescent="0.25">
      <c r="A43" s="35" t="s">
        <v>24</v>
      </c>
      <c r="B43" s="35">
        <v>1.39364E-2</v>
      </c>
      <c r="C43" s="36">
        <v>1.391351178804643E-2</v>
      </c>
      <c r="D43" s="37">
        <f t="shared" si="6"/>
        <v>1.6450348626746436E-3</v>
      </c>
    </row>
    <row r="44" spans="1:4" x14ac:dyDescent="0.25">
      <c r="A44" s="35" t="s">
        <v>25</v>
      </c>
      <c r="B44" s="35">
        <v>2.1920700000000001E-2</v>
      </c>
      <c r="C44" s="36">
        <v>2.1907598052887299E-2</v>
      </c>
      <c r="D44" s="37">
        <f t="shared" si="6"/>
        <v>5.9805493423215061E-4</v>
      </c>
    </row>
    <row r="45" spans="1:4" x14ac:dyDescent="0.25">
      <c r="A45" s="35" t="s">
        <v>26</v>
      </c>
      <c r="B45" s="35">
        <v>2.71816E-2</v>
      </c>
      <c r="C45" s="36">
        <v>2.7186079034939227E-2</v>
      </c>
      <c r="D45" s="37">
        <f t="shared" si="6"/>
        <v>-1.6475472367571964E-4</v>
      </c>
    </row>
    <row r="46" spans="1:4" x14ac:dyDescent="0.25">
      <c r="A46" s="35" t="s">
        <v>27</v>
      </c>
      <c r="B46" s="35">
        <v>2.9765900000000001E-2</v>
      </c>
      <c r="C46" s="36">
        <v>2.980147934306536E-2</v>
      </c>
      <c r="D46" s="37">
        <f t="shared" si="6"/>
        <v>-1.1938784197851326E-3</v>
      </c>
    </row>
    <row r="47" spans="1:4" x14ac:dyDescent="0.25">
      <c r="A47" s="35" t="s">
        <v>28</v>
      </c>
      <c r="B47" s="35">
        <v>2.94186E-2</v>
      </c>
      <c r="C47" s="36">
        <v>2.945033661605494E-2</v>
      </c>
      <c r="D47" s="37">
        <f t="shared" si="6"/>
        <v>-1.0776316912329831E-3</v>
      </c>
    </row>
    <row r="48" spans="1:4" x14ac:dyDescent="0.25">
      <c r="B48" t="s">
        <v>46</v>
      </c>
    </row>
    <row r="49" spans="1:4" x14ac:dyDescent="0.25">
      <c r="A49" s="33" t="s">
        <v>20</v>
      </c>
      <c r="B49" s="33" t="s">
        <v>39</v>
      </c>
      <c r="C49" s="33" t="s">
        <v>40</v>
      </c>
      <c r="D49" s="34" t="s">
        <v>41</v>
      </c>
    </row>
    <row r="50" spans="1:4" x14ac:dyDescent="0.25">
      <c r="A50" s="35" t="s">
        <v>22</v>
      </c>
      <c r="B50" s="35">
        <v>2.9130699999999998E-3</v>
      </c>
      <c r="C50" s="36">
        <v>2.9166666670281446E-3</v>
      </c>
      <c r="D50" s="37">
        <f>B50/C50-1</f>
        <v>-1.2331429809253613E-3</v>
      </c>
    </row>
    <row r="51" spans="1:4" x14ac:dyDescent="0.25">
      <c r="A51" s="35" t="s">
        <v>23</v>
      </c>
      <c r="B51" s="35">
        <v>8.6651300000000001E-3</v>
      </c>
      <c r="C51" s="36">
        <v>8.6304156325269013E-3</v>
      </c>
      <c r="D51" s="37">
        <f t="shared" ref="D51:D56" si="7">B51/C51-1</f>
        <v>4.0223285819822596E-3</v>
      </c>
    </row>
    <row r="52" spans="1:4" x14ac:dyDescent="0.25">
      <c r="A52" s="35" t="s">
        <v>24</v>
      </c>
      <c r="B52" s="35">
        <v>1.39364E-2</v>
      </c>
      <c r="C52" s="36">
        <v>1.391351178804643E-2</v>
      </c>
      <c r="D52" s="37">
        <f t="shared" si="7"/>
        <v>1.6450348626746436E-3</v>
      </c>
    </row>
    <row r="53" spans="1:4" x14ac:dyDescent="0.25">
      <c r="A53" s="35" t="s">
        <v>25</v>
      </c>
      <c r="B53" s="35">
        <v>9.3493900000000005E-2</v>
      </c>
      <c r="C53" s="36">
        <v>9.3957452006192946E-2</v>
      </c>
      <c r="D53" s="37">
        <f t="shared" si="7"/>
        <v>-4.9336374741451028E-3</v>
      </c>
    </row>
    <row r="54" spans="1:4" x14ac:dyDescent="0.25">
      <c r="A54" s="35" t="s">
        <v>26</v>
      </c>
      <c r="B54" s="35">
        <v>4.4767399999999999E-2</v>
      </c>
      <c r="C54" s="36">
        <v>4.4798409533846756E-2</v>
      </c>
      <c r="D54" s="37">
        <f t="shared" si="7"/>
        <v>-6.9220166897510094E-4</v>
      </c>
    </row>
    <row r="55" spans="1:4" x14ac:dyDescent="0.25">
      <c r="A55" s="35" t="s">
        <v>27</v>
      </c>
      <c r="B55" s="35">
        <v>4.7404700000000001E-2</v>
      </c>
      <c r="C55" s="36">
        <v>4.7468108820753779E-2</v>
      </c>
      <c r="D55" s="37">
        <f t="shared" si="7"/>
        <v>-1.3358194023110892E-3</v>
      </c>
    </row>
    <row r="56" spans="1:4" x14ac:dyDescent="0.25">
      <c r="A56" s="35" t="s">
        <v>28</v>
      </c>
      <c r="B56" s="35">
        <v>4.6968099999999999E-2</v>
      </c>
      <c r="C56" s="36">
        <v>4.7024424093225832E-2</v>
      </c>
      <c r="D56" s="37">
        <f t="shared" si="7"/>
        <v>-1.1977625311087037E-3</v>
      </c>
    </row>
    <row r="57" spans="1:4" x14ac:dyDescent="0.25">
      <c r="B57" t="s">
        <v>51</v>
      </c>
    </row>
    <row r="58" spans="1:4" x14ac:dyDescent="0.25">
      <c r="A58" s="33" t="s">
        <v>20</v>
      </c>
      <c r="B58" s="33" t="s">
        <v>39</v>
      </c>
      <c r="C58" s="33" t="s">
        <v>40</v>
      </c>
      <c r="D58" s="34" t="s">
        <v>41</v>
      </c>
    </row>
    <row r="59" spans="1:4" x14ac:dyDescent="0.25">
      <c r="A59" s="35" t="s">
        <v>22</v>
      </c>
      <c r="B59" s="35">
        <v>1.9558900000000001E-2</v>
      </c>
      <c r="C59" s="36">
        <v>1.9583333323541677E-2</v>
      </c>
      <c r="D59" s="37">
        <f>B59/C59-1</f>
        <v>-1.2476590750923888E-3</v>
      </c>
    </row>
    <row r="60" spans="1:4" x14ac:dyDescent="0.25">
      <c r="A60" s="35" t="s">
        <v>23</v>
      </c>
      <c r="B60" s="35">
        <v>2.5360000000000001E-2</v>
      </c>
      <c r="C60" s="36">
        <v>2.5345558060099065E-2</v>
      </c>
      <c r="D60" s="37">
        <f t="shared" ref="D60:D65" si="8">B60/C60-1</f>
        <v>5.698016144166651E-4</v>
      </c>
    </row>
    <row r="61" spans="1:4" x14ac:dyDescent="0.25">
      <c r="A61" s="35" t="s">
        <v>24</v>
      </c>
      <c r="B61" s="35">
        <v>3.0723899999999998E-2</v>
      </c>
      <c r="C61" s="36">
        <v>3.0720536001369106E-2</v>
      </c>
      <c r="D61" s="37">
        <f t="shared" si="8"/>
        <v>1.0950325315750575E-4</v>
      </c>
    </row>
    <row r="62" spans="1:4" x14ac:dyDescent="0.25">
      <c r="A62" s="35" t="s">
        <v>25</v>
      </c>
      <c r="B62" s="35">
        <v>3.6468400000000002E-3</v>
      </c>
      <c r="C62" s="36">
        <v>3.7871511131064763E-3</v>
      </c>
      <c r="D62" s="37">
        <f t="shared" si="8"/>
        <v>-3.7049251248752912E-2</v>
      </c>
    </row>
    <row r="63" spans="1:4" x14ac:dyDescent="0.25">
      <c r="A63" s="35" t="s">
        <v>26</v>
      </c>
      <c r="B63" s="35">
        <v>3.57612E-2</v>
      </c>
      <c r="C63" s="36">
        <v>3.5615614607732507E-2</v>
      </c>
      <c r="D63" s="37">
        <f t="shared" si="8"/>
        <v>4.0876844010964142E-3</v>
      </c>
    </row>
    <row r="64" spans="1:4" x14ac:dyDescent="0.25">
      <c r="A64" s="35" t="s">
        <v>27</v>
      </c>
      <c r="B64" s="35">
        <v>3.8215800000000001E-2</v>
      </c>
      <c r="C64" s="36">
        <v>3.8348328972835376E-2</v>
      </c>
      <c r="D64" s="37">
        <f t="shared" si="8"/>
        <v>-3.455925626622558E-3</v>
      </c>
    </row>
    <row r="65" spans="1:4" x14ac:dyDescent="0.25">
      <c r="A65" s="35" t="s">
        <v>28</v>
      </c>
      <c r="B65" s="35">
        <v>3.8027699999999998E-2</v>
      </c>
      <c r="C65" s="36">
        <v>3.8071144714534717E-2</v>
      </c>
      <c r="D65" s="37">
        <f t="shared" si="8"/>
        <v>-1.1411454754113315E-3</v>
      </c>
    </row>
    <row r="66" spans="1:4" x14ac:dyDescent="0.25">
      <c r="B66" t="s">
        <v>49</v>
      </c>
    </row>
    <row r="67" spans="1:4" x14ac:dyDescent="0.25">
      <c r="A67" s="33" t="s">
        <v>20</v>
      </c>
      <c r="B67" s="33" t="s">
        <v>39</v>
      </c>
      <c r="C67" s="33" t="s">
        <v>40</v>
      </c>
      <c r="D67" s="34" t="s">
        <v>41</v>
      </c>
    </row>
    <row r="68" spans="1:4" x14ac:dyDescent="0.25">
      <c r="A68" s="35" t="s">
        <v>22</v>
      </c>
      <c r="B68" s="35">
        <v>1.12637E-2</v>
      </c>
      <c r="C68" s="36">
        <v>1.1249999999646558E-2</v>
      </c>
      <c r="D68" s="37">
        <f>B68/C68-1</f>
        <v>1.2177778092330449E-3</v>
      </c>
    </row>
    <row r="69" spans="1:4" x14ac:dyDescent="0.25">
      <c r="A69" s="35" t="s">
        <v>23</v>
      </c>
      <c r="B69" s="35">
        <v>1.6996299999999999E-2</v>
      </c>
      <c r="C69" s="36">
        <v>1.6930294716331985E-2</v>
      </c>
      <c r="D69" s="37">
        <f t="shared" ref="D69:D74" si="9">B69/C69-1</f>
        <v>3.8986494195130117E-3</v>
      </c>
    </row>
    <row r="70" spans="1:4" x14ac:dyDescent="0.25">
      <c r="A70" s="35" t="s">
        <v>24</v>
      </c>
      <c r="B70" s="35">
        <v>2.2217899999999999E-2</v>
      </c>
      <c r="C70" s="36">
        <v>2.2150911769856858E-2</v>
      </c>
      <c r="D70" s="37">
        <f t="shared" si="9"/>
        <v>3.0241748438679661E-3</v>
      </c>
    </row>
    <row r="71" spans="1:4" x14ac:dyDescent="0.25">
      <c r="A71" s="35" t="s">
        <v>25</v>
      </c>
      <c r="B71" s="35">
        <v>3.0078500000000001E-2</v>
      </c>
      <c r="C71" s="36">
        <v>3.0001416545650011E-2</v>
      </c>
      <c r="D71" s="37">
        <f t="shared" si="9"/>
        <v>2.5693271593592026E-3</v>
      </c>
    </row>
    <row r="72" spans="1:4" x14ac:dyDescent="0.25">
      <c r="A72" s="35" t="s">
        <v>26</v>
      </c>
      <c r="B72" s="35">
        <v>3.5378600000000003E-2</v>
      </c>
      <c r="C72" s="36">
        <v>3.5148556521281821E-2</v>
      </c>
      <c r="D72" s="37">
        <f t="shared" si="9"/>
        <v>6.5448912127841208E-3</v>
      </c>
    </row>
    <row r="73" spans="1:4" x14ac:dyDescent="0.25">
      <c r="A73" s="35" t="s">
        <v>27</v>
      </c>
      <c r="B73" s="35">
        <v>3.7641300000000003E-2</v>
      </c>
      <c r="C73" s="36">
        <v>3.7670938402905856E-2</v>
      </c>
      <c r="D73" s="37">
        <f t="shared" si="9"/>
        <v>-7.867710272799755E-4</v>
      </c>
    </row>
    <row r="74" spans="1:4" x14ac:dyDescent="0.25">
      <c r="A74" s="35" t="s">
        <v>28</v>
      </c>
      <c r="B74" s="35">
        <v>3.7361999999999999E-2</v>
      </c>
      <c r="C74" s="36">
        <v>3.7308659503154214E-2</v>
      </c>
      <c r="D74" s="37">
        <f t="shared" si="9"/>
        <v>1.4297082113410298E-3</v>
      </c>
    </row>
    <row r="75" spans="1:4" x14ac:dyDescent="0.25">
      <c r="B75" t="s">
        <v>48</v>
      </c>
    </row>
    <row r="76" spans="1:4" x14ac:dyDescent="0.25">
      <c r="A76" s="33" t="s">
        <v>20</v>
      </c>
      <c r="B76" s="33" t="s">
        <v>39</v>
      </c>
      <c r="C76" s="33" t="s">
        <v>40</v>
      </c>
      <c r="D76" s="34" t="s">
        <v>41</v>
      </c>
    </row>
    <row r="77" spans="1:4" x14ac:dyDescent="0.25">
      <c r="A77" s="35" t="s">
        <v>22</v>
      </c>
      <c r="B77" s="35">
        <v>1.12084E-2</v>
      </c>
      <c r="C77" s="36">
        <v>1.1249999999646558E-2</v>
      </c>
      <c r="D77" s="37">
        <f>B77/C77-1</f>
        <v>-3.697777746476838E-3</v>
      </c>
    </row>
    <row r="78" spans="1:4" x14ac:dyDescent="0.25">
      <c r="A78" s="35" t="s">
        <v>23</v>
      </c>
      <c r="B78" s="35">
        <v>1.7029800000000001E-2</v>
      </c>
      <c r="C78" s="36">
        <v>1.7046643029836748E-2</v>
      </c>
      <c r="D78" s="37">
        <f t="shared" ref="D78:D83" si="10">B78/C78-1</f>
        <v>-9.8805552549352527E-4</v>
      </c>
    </row>
    <row r="79" spans="1:4" x14ac:dyDescent="0.25">
      <c r="A79" s="35" t="s">
        <v>24</v>
      </c>
      <c r="B79" s="35">
        <v>2.2446399999999998E-2</v>
      </c>
      <c r="C79" s="36">
        <v>2.248782700648002E-2</v>
      </c>
      <c r="D79" s="37">
        <f t="shared" si="10"/>
        <v>-1.8421969569618613E-3</v>
      </c>
    </row>
    <row r="80" spans="1:4" x14ac:dyDescent="0.25">
      <c r="A80" s="35" t="s">
        <v>25</v>
      </c>
      <c r="B80" s="35">
        <v>3.0779000000000001E-2</v>
      </c>
      <c r="C80" s="36">
        <v>3.0851139962280828E-2</v>
      </c>
      <c r="D80" s="37">
        <f t="shared" si="10"/>
        <v>-2.3383240414787121E-3</v>
      </c>
    </row>
    <row r="81" spans="1:4" x14ac:dyDescent="0.25">
      <c r="A81" s="35" t="s">
        <v>26</v>
      </c>
      <c r="B81" s="35">
        <v>3.6542199999999997E-2</v>
      </c>
      <c r="C81" s="36">
        <v>3.6478164996849083E-2</v>
      </c>
      <c r="D81" s="37">
        <f t="shared" si="10"/>
        <v>1.7554337822762722E-3</v>
      </c>
    </row>
    <row r="82" spans="1:4" x14ac:dyDescent="0.25">
      <c r="A82" s="35" t="s">
        <v>27</v>
      </c>
      <c r="B82" s="35">
        <v>3.9120000000000002E-2</v>
      </c>
      <c r="C82" s="36">
        <v>3.9361136663498421E-2</v>
      </c>
      <c r="D82" s="37">
        <f t="shared" si="10"/>
        <v>-6.1262627032322436E-3</v>
      </c>
    </row>
    <row r="83" spans="1:4" x14ac:dyDescent="0.25">
      <c r="A83" s="35" t="s">
        <v>28</v>
      </c>
      <c r="B83" s="35">
        <v>3.8943600000000002E-2</v>
      </c>
      <c r="C83" s="36">
        <v>3.9088000226223746E-2</v>
      </c>
      <c r="D83" s="37">
        <f t="shared" si="10"/>
        <v>-3.6942341738646078E-3</v>
      </c>
    </row>
    <row r="84" spans="1:4" x14ac:dyDescent="0.25">
      <c r="B84" t="s">
        <v>50</v>
      </c>
    </row>
    <row r="85" spans="1:4" x14ac:dyDescent="0.25">
      <c r="A85" s="33" t="s">
        <v>20</v>
      </c>
      <c r="B85" s="33" t="s">
        <v>39</v>
      </c>
      <c r="C85" s="33" t="s">
        <v>40</v>
      </c>
      <c r="D85" s="34" t="s">
        <v>41</v>
      </c>
    </row>
    <row r="86" spans="1:4" x14ac:dyDescent="0.25">
      <c r="A86" s="35" t="s">
        <v>22</v>
      </c>
      <c r="B86" s="35">
        <v>1.12637E-2</v>
      </c>
      <c r="C86" s="36">
        <v>1.1249999999646558E-2</v>
      </c>
      <c r="D86" s="37">
        <f>B86/C86-1</f>
        <v>1.2177778092330449E-3</v>
      </c>
    </row>
    <row r="87" spans="1:4" x14ac:dyDescent="0.25">
      <c r="A87" s="35" t="s">
        <v>23</v>
      </c>
      <c r="B87" s="35">
        <v>1.6996299999999999E-2</v>
      </c>
      <c r="C87" s="36">
        <v>1.6930294716331982E-2</v>
      </c>
      <c r="D87" s="37">
        <f t="shared" ref="D87:D92" si="11">B87/C87-1</f>
        <v>3.8986494195132337E-3</v>
      </c>
    </row>
    <row r="88" spans="1:4" x14ac:dyDescent="0.25">
      <c r="A88" s="35" t="s">
        <v>24</v>
      </c>
      <c r="B88" s="35">
        <v>2.2211100000000001E-2</v>
      </c>
      <c r="C88" s="36">
        <v>2.2150911769856858E-2</v>
      </c>
      <c r="D88" s="37">
        <f t="shared" si="11"/>
        <v>2.717189737762693E-3</v>
      </c>
    </row>
    <row r="89" spans="1:4" x14ac:dyDescent="0.25">
      <c r="A89" s="35" t="s">
        <v>25</v>
      </c>
      <c r="B89" s="35">
        <v>3.0452900000000001E-2</v>
      </c>
      <c r="C89" s="36">
        <v>3.0975623191119166E-2</v>
      </c>
      <c r="D89" s="37">
        <f t="shared" si="11"/>
        <v>-1.687530829949635E-2</v>
      </c>
    </row>
    <row r="90" spans="1:4" x14ac:dyDescent="0.25">
      <c r="A90" s="35" t="s">
        <v>26</v>
      </c>
      <c r="B90" s="35">
        <v>3.7407200000000002E-2</v>
      </c>
      <c r="C90" s="36">
        <v>3.7343430471925863E-2</v>
      </c>
      <c r="D90" s="37">
        <f t="shared" si="11"/>
        <v>1.7076505095610095E-3</v>
      </c>
    </row>
    <row r="91" spans="1:4" x14ac:dyDescent="0.25">
      <c r="A91" s="35" t="s">
        <v>27</v>
      </c>
      <c r="B91" s="35">
        <v>3.9774299999999999E-2</v>
      </c>
      <c r="C91" s="36">
        <v>4.0028363345161445E-2</v>
      </c>
      <c r="D91" s="37">
        <f t="shared" si="11"/>
        <v>-6.3470830163770975E-3</v>
      </c>
    </row>
    <row r="92" spans="1:4" x14ac:dyDescent="0.25">
      <c r="A92" s="35" t="s">
        <v>28</v>
      </c>
      <c r="B92" s="35">
        <v>3.9329099999999999E-2</v>
      </c>
      <c r="C92" s="36">
        <v>3.9477827194462634E-2</v>
      </c>
      <c r="D92" s="37">
        <f t="shared" si="11"/>
        <v>-3.767360187530655E-3</v>
      </c>
    </row>
    <row r="93" spans="1:4" x14ac:dyDescent="0.25">
      <c r="B93" t="s">
        <v>47</v>
      </c>
    </row>
    <row r="94" spans="1:4" x14ac:dyDescent="0.25">
      <c r="A94" s="33" t="s">
        <v>20</v>
      </c>
      <c r="B94" s="33" t="s">
        <v>39</v>
      </c>
      <c r="C94" s="33" t="s">
        <v>40</v>
      </c>
      <c r="D94" s="34" t="s">
        <v>41</v>
      </c>
    </row>
    <row r="95" spans="1:4" x14ac:dyDescent="0.25">
      <c r="A95" s="35" t="s">
        <v>22</v>
      </c>
      <c r="B95" s="35">
        <v>1.12084E-2</v>
      </c>
      <c r="C95" s="36">
        <v>1.1249999999646558E-2</v>
      </c>
      <c r="D95" s="37">
        <f>B95/C95-1</f>
        <v>-3.697777746476838E-3</v>
      </c>
    </row>
    <row r="96" spans="1:4" x14ac:dyDescent="0.25">
      <c r="A96" s="35" t="s">
        <v>23</v>
      </c>
      <c r="B96" s="35">
        <v>1.7029800000000001E-2</v>
      </c>
      <c r="C96" s="36">
        <v>1.7046643029760694E-2</v>
      </c>
      <c r="D96" s="37">
        <f t="shared" ref="D96:D101" si="12">B96/C96-1</f>
        <v>-9.8805552103642391E-4</v>
      </c>
    </row>
    <row r="97" spans="1:4" x14ac:dyDescent="0.25">
      <c r="A97" s="35" t="s">
        <v>24</v>
      </c>
      <c r="B97" s="35">
        <v>2.24532E-2</v>
      </c>
      <c r="C97" s="36">
        <v>2.2487827005285569E-2</v>
      </c>
      <c r="D97" s="37">
        <f t="shared" si="12"/>
        <v>-1.5398110843448665E-3</v>
      </c>
    </row>
    <row r="98" spans="1:4" x14ac:dyDescent="0.25">
      <c r="A98" s="35" t="s">
        <v>25</v>
      </c>
      <c r="B98" s="35">
        <v>3.0396800000000002E-2</v>
      </c>
      <c r="C98" s="36">
        <v>2.9870734462790389E-2</v>
      </c>
      <c r="D98" s="37">
        <f t="shared" si="12"/>
        <v>1.7611402821879896E-2</v>
      </c>
    </row>
    <row r="99" spans="1:4" x14ac:dyDescent="0.25">
      <c r="A99" s="35" t="s">
        <v>26</v>
      </c>
      <c r="B99" s="35">
        <v>3.4649199999999998E-2</v>
      </c>
      <c r="C99" s="36">
        <v>3.4423108640787722E-2</v>
      </c>
      <c r="D99" s="37">
        <f t="shared" si="12"/>
        <v>6.5680110873072017E-3</v>
      </c>
    </row>
    <row r="100" spans="1:4" x14ac:dyDescent="0.25">
      <c r="A100" s="35" t="s">
        <v>27</v>
      </c>
      <c r="B100" s="35">
        <v>3.7124600000000001E-2</v>
      </c>
      <c r="C100" s="36">
        <v>3.7147311409834793E-2</v>
      </c>
      <c r="D100" s="37">
        <f t="shared" si="12"/>
        <v>-6.113877148261615E-4</v>
      </c>
    </row>
    <row r="101" spans="1:4" x14ac:dyDescent="0.25">
      <c r="A101" s="35" t="s">
        <v>28</v>
      </c>
      <c r="B101" s="35">
        <v>3.70891E-2</v>
      </c>
      <c r="C101" s="36">
        <v>3.7034583743121366E-2</v>
      </c>
      <c r="D101" s="37">
        <f t="shared" si="12"/>
        <v>1.472036441850344E-3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Test Case</vt:lpstr>
    </vt:vector>
  </TitlesOfParts>
  <Company>PricewaterhouseCoopers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 HK Tsui</dc:creator>
  <cp:lastModifiedBy>tsui ken</cp:lastModifiedBy>
  <dcterms:created xsi:type="dcterms:W3CDTF">2015-03-16T06:03:53Z</dcterms:created>
  <dcterms:modified xsi:type="dcterms:W3CDTF">2015-05-17T16:53:23Z</dcterms:modified>
</cp:coreProperties>
</file>